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ropbox\1.2 SSJ\HRIS SYSTEM\hris-donggi-matindok\"/>
    </mc:Choice>
  </mc:AlternateContent>
  <xr:revisionPtr revIDLastSave="0" documentId="13_ncr:1_{C3AD7621-F0C4-4333-A2EA-71DE5D8431C0}" xr6:coauthVersionLast="47" xr6:coauthVersionMax="47" xr10:uidLastSave="{00000000-0000-0000-0000-000000000000}"/>
  <bookViews>
    <workbookView xWindow="-98" yWindow="-98" windowWidth="19396" windowHeight="11475" tabRatio="1000" xr2:uid="{29D13372-D5E9-4BA4-A471-6BF912524645}"/>
  </bookViews>
  <sheets>
    <sheet name="SSJ (4710002085) 2026.05.26 " sheetId="7" r:id="rId1"/>
  </sheets>
  <definedNames>
    <definedName name="_xlnm._FilterDatabase" localSheetId="0" hidden="1">'SSJ (4710002085) 2026.05.26 '!$A$6:$BR$58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7" l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E5" i="7" s="1"/>
  <c r="BF5" i="7" s="1"/>
  <c r="BG5" i="7" s="1"/>
  <c r="BH5" i="7" s="1"/>
  <c r="BI5" i="7" s="1"/>
  <c r="BJ5" i="7" s="1"/>
  <c r="BK5" i="7" s="1"/>
  <c r="BL5" i="7" s="1"/>
  <c r="BM5" i="7" s="1"/>
  <c r="BN5" i="7" s="1"/>
  <c r="BO5" i="7" s="1"/>
  <c r="BP5" i="7" s="1"/>
  <c r="BQ5" i="7" s="1"/>
  <c r="BR5" i="7" s="1"/>
  <c r="BS5" i="7" s="1"/>
  <c r="BT5" i="7" s="1"/>
  <c r="J5" i="7"/>
  <c r="K5" i="7" s="1"/>
  <c r="L5" i="7" s="1"/>
  <c r="I5" i="7"/>
  <c r="F60" i="7"/>
  <c r="BP58" i="7"/>
  <c r="BK58" i="7"/>
  <c r="AU58" i="7"/>
  <c r="AK58" i="7"/>
  <c r="AF58" i="7"/>
  <c r="T58" i="7"/>
  <c r="S58" i="7"/>
  <c r="R58" i="7"/>
  <c r="U58" i="7" s="1"/>
  <c r="BP57" i="7"/>
  <c r="BK57" i="7"/>
  <c r="AU57" i="7"/>
  <c r="AK57" i="7"/>
  <c r="AF57" i="7"/>
  <c r="T57" i="7"/>
  <c r="S57" i="7"/>
  <c r="R57" i="7"/>
  <c r="U57" i="7" s="1"/>
  <c r="BP56" i="7"/>
  <c r="BK56" i="7"/>
  <c r="AU56" i="7"/>
  <c r="AK56" i="7"/>
  <c r="AF56" i="7"/>
  <c r="T56" i="7"/>
  <c r="S56" i="7"/>
  <c r="R56" i="7"/>
  <c r="U56" i="7" s="1"/>
  <c r="BP55" i="7"/>
  <c r="BK55" i="7"/>
  <c r="AU55" i="7"/>
  <c r="AK55" i="7"/>
  <c r="AF55" i="7"/>
  <c r="T55" i="7"/>
  <c r="S55" i="7"/>
  <c r="R55" i="7"/>
  <c r="U55" i="7" s="1"/>
  <c r="BP54" i="7"/>
  <c r="BK54" i="7"/>
  <c r="AU54" i="7"/>
  <c r="AK54" i="7"/>
  <c r="AF54" i="7"/>
  <c r="T54" i="7"/>
  <c r="S54" i="7"/>
  <c r="R54" i="7"/>
  <c r="U54" i="7" s="1"/>
  <c r="BP53" i="7"/>
  <c r="BK53" i="7"/>
  <c r="AU53" i="7"/>
  <c r="AK53" i="7"/>
  <c r="AF53" i="7"/>
  <c r="T53" i="7"/>
  <c r="S53" i="7"/>
  <c r="R53" i="7"/>
  <c r="U53" i="7" s="1"/>
  <c r="BP52" i="7"/>
  <c r="BK52" i="7"/>
  <c r="AU52" i="7"/>
  <c r="AK52" i="7"/>
  <c r="AF52" i="7"/>
  <c r="T52" i="7"/>
  <c r="S52" i="7"/>
  <c r="R52" i="7"/>
  <c r="U52" i="7" s="1"/>
  <c r="BP51" i="7"/>
  <c r="BK51" i="7"/>
  <c r="AU51" i="7"/>
  <c r="AK51" i="7"/>
  <c r="AF51" i="7"/>
  <c r="T51" i="7"/>
  <c r="S51" i="7"/>
  <c r="R51" i="7"/>
  <c r="U51" i="7" s="1"/>
  <c r="BP50" i="7"/>
  <c r="BK50" i="7"/>
  <c r="AU50" i="7"/>
  <c r="AK50" i="7"/>
  <c r="AF50" i="7"/>
  <c r="T50" i="7"/>
  <c r="S50" i="7"/>
  <c r="R50" i="7"/>
  <c r="U50" i="7" s="1"/>
  <c r="BP49" i="7"/>
  <c r="BK49" i="7"/>
  <c r="AU49" i="7"/>
  <c r="AK49" i="7"/>
  <c r="AF49" i="7"/>
  <c r="T49" i="7"/>
  <c r="S49" i="7"/>
  <c r="R49" i="7"/>
  <c r="U49" i="7" s="1"/>
  <c r="BP48" i="7"/>
  <c r="BK48" i="7"/>
  <c r="AU48" i="7"/>
  <c r="AK48" i="7"/>
  <c r="AF48" i="7"/>
  <c r="T48" i="7"/>
  <c r="S48" i="7"/>
  <c r="R48" i="7"/>
  <c r="U48" i="7" s="1"/>
  <c r="BP47" i="7"/>
  <c r="BK47" i="7"/>
  <c r="AU47" i="7"/>
  <c r="AK47" i="7"/>
  <c r="AF47" i="7"/>
  <c r="T47" i="7"/>
  <c r="S47" i="7"/>
  <c r="R47" i="7"/>
  <c r="U47" i="7" s="1"/>
  <c r="BP46" i="7"/>
  <c r="BK46" i="7"/>
  <c r="AU46" i="7"/>
  <c r="AK46" i="7"/>
  <c r="AF46" i="7"/>
  <c r="T46" i="7"/>
  <c r="S46" i="7"/>
  <c r="R46" i="7"/>
  <c r="U46" i="7" s="1"/>
  <c r="BP45" i="7"/>
  <c r="BK45" i="7"/>
  <c r="AU45" i="7"/>
  <c r="AK45" i="7"/>
  <c r="AF45" i="7"/>
  <c r="T45" i="7"/>
  <c r="S45" i="7"/>
  <c r="R45" i="7"/>
  <c r="U45" i="7" s="1"/>
  <c r="BP44" i="7"/>
  <c r="BK44" i="7"/>
  <c r="AU44" i="7"/>
  <c r="AK44" i="7"/>
  <c r="AF44" i="7"/>
  <c r="T44" i="7"/>
  <c r="S44" i="7"/>
  <c r="R44" i="7"/>
  <c r="U44" i="7" s="1"/>
  <c r="BP43" i="7"/>
  <c r="BK43" i="7"/>
  <c r="AU43" i="7"/>
  <c r="AK43" i="7"/>
  <c r="AF43" i="7"/>
  <c r="T43" i="7"/>
  <c r="S43" i="7"/>
  <c r="R43" i="7"/>
  <c r="U43" i="7" s="1"/>
  <c r="BP42" i="7"/>
  <c r="BK42" i="7"/>
  <c r="AU42" i="7"/>
  <c r="AK42" i="7"/>
  <c r="AF42" i="7"/>
  <c r="T42" i="7"/>
  <c r="S42" i="7"/>
  <c r="R42" i="7"/>
  <c r="U42" i="7" s="1"/>
  <c r="BP41" i="7"/>
  <c r="BK41" i="7"/>
  <c r="AU41" i="7"/>
  <c r="AK41" i="7"/>
  <c r="AF41" i="7"/>
  <c r="T41" i="7"/>
  <c r="S41" i="7"/>
  <c r="R41" i="7"/>
  <c r="U41" i="7" s="1"/>
  <c r="BP40" i="7"/>
  <c r="BK40" i="7"/>
  <c r="AU40" i="7"/>
  <c r="AK40" i="7"/>
  <c r="AF40" i="7"/>
  <c r="T40" i="7"/>
  <c r="S40" i="7"/>
  <c r="R40" i="7"/>
  <c r="U40" i="7" s="1"/>
  <c r="BP39" i="7"/>
  <c r="BK39" i="7"/>
  <c r="AU39" i="7"/>
  <c r="AK39" i="7"/>
  <c r="AF39" i="7"/>
  <c r="T39" i="7"/>
  <c r="S39" i="7"/>
  <c r="R39" i="7"/>
  <c r="U39" i="7" s="1"/>
  <c r="BP38" i="7"/>
  <c r="BK38" i="7"/>
  <c r="AU38" i="7"/>
  <c r="AK38" i="7"/>
  <c r="AF38" i="7"/>
  <c r="T38" i="7"/>
  <c r="S38" i="7"/>
  <c r="R38" i="7"/>
  <c r="U38" i="7" s="1"/>
  <c r="BP37" i="7"/>
  <c r="BK37" i="7"/>
  <c r="AU37" i="7"/>
  <c r="AK37" i="7"/>
  <c r="AF37" i="7"/>
  <c r="T37" i="7"/>
  <c r="S37" i="7"/>
  <c r="R37" i="7"/>
  <c r="U37" i="7" s="1"/>
  <c r="BP36" i="7"/>
  <c r="BK36" i="7"/>
  <c r="AU36" i="7"/>
  <c r="AK36" i="7"/>
  <c r="AF36" i="7"/>
  <c r="T36" i="7"/>
  <c r="S36" i="7"/>
  <c r="R36" i="7"/>
  <c r="U36" i="7" s="1"/>
  <c r="BP35" i="7"/>
  <c r="BK35" i="7"/>
  <c r="AU35" i="7"/>
  <c r="AK35" i="7"/>
  <c r="AF35" i="7"/>
  <c r="T35" i="7"/>
  <c r="S35" i="7"/>
  <c r="R35" i="7"/>
  <c r="U35" i="7" s="1"/>
  <c r="BP34" i="7"/>
  <c r="BK34" i="7"/>
  <c r="AU34" i="7"/>
  <c r="AK34" i="7"/>
  <c r="AF34" i="7"/>
  <c r="T34" i="7"/>
  <c r="S34" i="7"/>
  <c r="R34" i="7"/>
  <c r="U34" i="7" s="1"/>
  <c r="BP33" i="7"/>
  <c r="BK33" i="7"/>
  <c r="AU33" i="7"/>
  <c r="AK33" i="7"/>
  <c r="AF33" i="7"/>
  <c r="T33" i="7"/>
  <c r="S33" i="7"/>
  <c r="R33" i="7"/>
  <c r="U33" i="7" s="1"/>
  <c r="BP32" i="7"/>
  <c r="BK32" i="7"/>
  <c r="AU32" i="7"/>
  <c r="AK32" i="7"/>
  <c r="AF32" i="7"/>
  <c r="T32" i="7"/>
  <c r="S32" i="7"/>
  <c r="R32" i="7"/>
  <c r="U32" i="7" s="1"/>
  <c r="BP31" i="7"/>
  <c r="BK31" i="7"/>
  <c r="AU31" i="7"/>
  <c r="AK31" i="7"/>
  <c r="AF31" i="7"/>
  <c r="T31" i="7"/>
  <c r="S31" i="7"/>
  <c r="R31" i="7"/>
  <c r="U31" i="7" s="1"/>
  <c r="BP30" i="7"/>
  <c r="BK30" i="7"/>
  <c r="AU30" i="7"/>
  <c r="AK30" i="7"/>
  <c r="AF30" i="7"/>
  <c r="T30" i="7"/>
  <c r="S30" i="7"/>
  <c r="R30" i="7"/>
  <c r="U30" i="7" s="1"/>
  <c r="BP29" i="7"/>
  <c r="BK29" i="7"/>
  <c r="AU29" i="7"/>
  <c r="AK29" i="7"/>
  <c r="AF29" i="7"/>
  <c r="T29" i="7"/>
  <c r="S29" i="7"/>
  <c r="R29" i="7"/>
  <c r="U29" i="7" s="1"/>
  <c r="BP28" i="7"/>
  <c r="BK28" i="7"/>
  <c r="AU28" i="7"/>
  <c r="AK28" i="7"/>
  <c r="AF28" i="7"/>
  <c r="T28" i="7"/>
  <c r="S28" i="7"/>
  <c r="R28" i="7"/>
  <c r="U28" i="7" s="1"/>
  <c r="BP27" i="7"/>
  <c r="BK27" i="7"/>
  <c r="AU27" i="7"/>
  <c r="AK27" i="7"/>
  <c r="AF27" i="7"/>
  <c r="T27" i="7"/>
  <c r="S27" i="7"/>
  <c r="R27" i="7"/>
  <c r="U27" i="7" s="1"/>
  <c r="BP26" i="7"/>
  <c r="BK26" i="7"/>
  <c r="AU26" i="7"/>
  <c r="AK26" i="7"/>
  <c r="AF26" i="7"/>
  <c r="T26" i="7"/>
  <c r="S26" i="7"/>
  <c r="R26" i="7"/>
  <c r="U26" i="7" s="1"/>
  <c r="BP25" i="7"/>
  <c r="BK25" i="7"/>
  <c r="AU25" i="7"/>
  <c r="AK25" i="7"/>
  <c r="AF25" i="7"/>
  <c r="T25" i="7"/>
  <c r="S25" i="7"/>
  <c r="R25" i="7"/>
  <c r="U25" i="7" s="1"/>
  <c r="BP24" i="7"/>
  <c r="BK24" i="7"/>
  <c r="AU24" i="7"/>
  <c r="AK24" i="7"/>
  <c r="AF24" i="7"/>
  <c r="T24" i="7"/>
  <c r="S24" i="7"/>
  <c r="R24" i="7"/>
  <c r="U24" i="7" s="1"/>
  <c r="BP23" i="7"/>
  <c r="BK23" i="7"/>
  <c r="AU23" i="7"/>
  <c r="AK23" i="7"/>
  <c r="AF23" i="7"/>
  <c r="T23" i="7"/>
  <c r="S23" i="7"/>
  <c r="R23" i="7"/>
  <c r="U23" i="7" s="1"/>
  <c r="BP22" i="7"/>
  <c r="BK22" i="7"/>
  <c r="AU22" i="7"/>
  <c r="AK22" i="7"/>
  <c r="AF22" i="7"/>
  <c r="T22" i="7"/>
  <c r="S22" i="7"/>
  <c r="R22" i="7"/>
  <c r="U22" i="7" s="1"/>
  <c r="BP21" i="7"/>
  <c r="BK21" i="7"/>
  <c r="AU21" i="7"/>
  <c r="AK21" i="7"/>
  <c r="AF21" i="7"/>
  <c r="T21" i="7"/>
  <c r="S21" i="7"/>
  <c r="R21" i="7"/>
  <c r="U21" i="7" s="1"/>
  <c r="BP20" i="7"/>
  <c r="BK20" i="7"/>
  <c r="AU20" i="7"/>
  <c r="AK20" i="7"/>
  <c r="AF20" i="7"/>
  <c r="T20" i="7"/>
  <c r="S20" i="7"/>
  <c r="R20" i="7"/>
  <c r="U20" i="7" s="1"/>
  <c r="BP19" i="7"/>
  <c r="BK19" i="7"/>
  <c r="AU19" i="7"/>
  <c r="AK19" i="7"/>
  <c r="AF19" i="7"/>
  <c r="T19" i="7"/>
  <c r="S19" i="7"/>
  <c r="R19" i="7"/>
  <c r="U19" i="7" s="1"/>
  <c r="BP18" i="7"/>
  <c r="BK18" i="7"/>
  <c r="AK18" i="7"/>
  <c r="AF18" i="7"/>
  <c r="T18" i="7"/>
  <c r="S18" i="7"/>
  <c r="R18" i="7"/>
  <c r="U18" i="7" s="1"/>
  <c r="BP17" i="7"/>
  <c r="BK17" i="7"/>
  <c r="AU17" i="7"/>
  <c r="AK17" i="7"/>
  <c r="AF17" i="7"/>
  <c r="T17" i="7"/>
  <c r="S17" i="7"/>
  <c r="R17" i="7"/>
  <c r="U17" i="7" s="1"/>
  <c r="BP16" i="7"/>
  <c r="BK16" i="7"/>
  <c r="AU16" i="7"/>
  <c r="AK16" i="7"/>
  <c r="AF16" i="7"/>
  <c r="T16" i="7"/>
  <c r="S16" i="7"/>
  <c r="R16" i="7"/>
  <c r="U16" i="7" s="1"/>
  <c r="BP15" i="7"/>
  <c r="BK15" i="7"/>
  <c r="AK15" i="7"/>
  <c r="AF15" i="7"/>
  <c r="T15" i="7"/>
  <c r="S15" i="7"/>
  <c r="R15" i="7"/>
  <c r="U15" i="7" s="1"/>
  <c r="BP14" i="7"/>
  <c r="BK14" i="7"/>
  <c r="AU14" i="7"/>
  <c r="AK14" i="7"/>
  <c r="AF14" i="7"/>
  <c r="T14" i="7"/>
  <c r="S14" i="7"/>
  <c r="R14" i="7"/>
  <c r="U14" i="7" s="1"/>
  <c r="BP13" i="7"/>
  <c r="BK13" i="7"/>
  <c r="AU13" i="7"/>
  <c r="AK13" i="7"/>
  <c r="AF13" i="7"/>
  <c r="T13" i="7"/>
  <c r="S13" i="7"/>
  <c r="R13" i="7"/>
  <c r="U13" i="7" s="1"/>
  <c r="BP12" i="7"/>
  <c r="BK12" i="7"/>
  <c r="AU12" i="7"/>
  <c r="AK12" i="7"/>
  <c r="AF12" i="7"/>
  <c r="T12" i="7"/>
  <c r="S12" i="7"/>
  <c r="R12" i="7"/>
  <c r="U12" i="7" s="1"/>
  <c r="BP11" i="7"/>
  <c r="BK11" i="7"/>
  <c r="AU11" i="7"/>
  <c r="AK11" i="7"/>
  <c r="AF11" i="7"/>
  <c r="T11" i="7"/>
  <c r="S11" i="7"/>
  <c r="R11" i="7"/>
  <c r="U11" i="7" s="1"/>
  <c r="BP10" i="7"/>
  <c r="BK10" i="7"/>
  <c r="AU10" i="7"/>
  <c r="AK10" i="7"/>
  <c r="AF10" i="7"/>
  <c r="T10" i="7"/>
  <c r="S10" i="7"/>
  <c r="R10" i="7"/>
  <c r="U10" i="7" s="1"/>
  <c r="BP9" i="7"/>
  <c r="BK9" i="7"/>
  <c r="AU9" i="7"/>
  <c r="AK9" i="7"/>
  <c r="AF9" i="7"/>
  <c r="T9" i="7"/>
  <c r="S9" i="7"/>
  <c r="R9" i="7"/>
  <c r="U9" i="7" s="1"/>
  <c r="BP8" i="7"/>
  <c r="BK8" i="7"/>
  <c r="AU8" i="7"/>
  <c r="AK8" i="7"/>
  <c r="AF8" i="7"/>
  <c r="T8" i="7"/>
  <c r="S8" i="7"/>
  <c r="R8" i="7"/>
  <c r="U8" i="7" s="1"/>
  <c r="BP7" i="7"/>
  <c r="BK7" i="7"/>
  <c r="AU7" i="7"/>
  <c r="AK7" i="7"/>
  <c r="T7" i="7"/>
  <c r="S7" i="7"/>
  <c r="R7" i="7"/>
  <c r="U7" i="7" s="1"/>
  <c r="E5" i="7"/>
  <c r="D5" i="7"/>
  <c r="C5" i="7"/>
  <c r="B5" i="7"/>
  <c r="Y4" i="7"/>
  <c r="Y3" i="7"/>
  <c r="F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Kurniawan</author>
  </authors>
  <commentList>
    <comment ref="BI7" authorId="0" shapeId="0" xr:uid="{D5050879-32BA-4542-9814-690588341DA2}">
      <text>
        <r>
          <rPr>
            <b/>
            <sz val="9"/>
            <color indexed="81"/>
            <rFont val="Tahoma"/>
            <family val="2"/>
          </rPr>
          <t>Kurniawan:</t>
        </r>
        <r>
          <rPr>
            <sz val="9"/>
            <color indexed="81"/>
            <rFont val="Tahoma"/>
            <family val="2"/>
          </rPr>
          <t xml:space="preserve">
awal '12021881375</t>
        </r>
      </text>
    </comment>
    <comment ref="BK7" authorId="0" shapeId="0" xr:uid="{19033A0F-AEA9-4391-96FA-862A51220B47}">
      <text>
        <r>
          <rPr>
            <b/>
            <sz val="9"/>
            <color indexed="81"/>
            <rFont val="Tahoma"/>
            <family val="2"/>
          </rPr>
          <t>Kurniawan:</t>
        </r>
        <r>
          <rPr>
            <sz val="9"/>
            <color indexed="81"/>
            <rFont val="Tahoma"/>
            <family val="2"/>
          </rPr>
          <t xml:space="preserve">
awal '12021881375</t>
        </r>
      </text>
    </comment>
    <comment ref="BK8" authorId="0" shapeId="0" xr:uid="{9EF833E9-2908-4B98-A444-225DB53E82D9}">
      <text>
        <r>
          <rPr>
            <b/>
            <sz val="9"/>
            <color indexed="81"/>
            <rFont val="Tahoma"/>
            <family val="2"/>
          </rPr>
          <t>Kurniawan:</t>
        </r>
        <r>
          <rPr>
            <sz val="9"/>
            <color indexed="81"/>
            <rFont val="Tahoma"/>
            <family val="2"/>
          </rPr>
          <t xml:space="preserve">
awal '12021881375</t>
        </r>
      </text>
    </comment>
    <comment ref="BK9" authorId="0" shapeId="0" xr:uid="{9598A91A-F25E-485A-9640-4498254DD2F0}">
      <text>
        <r>
          <rPr>
            <b/>
            <sz val="9"/>
            <color indexed="81"/>
            <rFont val="Tahoma"/>
            <family val="2"/>
          </rPr>
          <t>Kurniawan:</t>
        </r>
        <r>
          <rPr>
            <sz val="9"/>
            <color indexed="81"/>
            <rFont val="Tahoma"/>
            <family val="2"/>
          </rPr>
          <t xml:space="preserve">
awal '12021881375</t>
        </r>
      </text>
    </comment>
    <comment ref="BI12" authorId="0" shapeId="0" xr:uid="{298E92D0-7CB4-4A0A-A7E2-7741477D495F}">
      <text>
        <r>
          <rPr>
            <b/>
            <sz val="9"/>
            <color indexed="81"/>
            <rFont val="Tahoma"/>
            <family val="2"/>
          </rPr>
          <t>Kurniawan:</t>
        </r>
        <r>
          <rPr>
            <sz val="9"/>
            <color indexed="81"/>
            <rFont val="Tahoma"/>
            <family val="2"/>
          </rPr>
          <t xml:space="preserve">
awal '14031497663
</t>
        </r>
      </text>
    </comment>
    <comment ref="BK12" authorId="0" shapeId="0" xr:uid="{322CC8E8-2DF1-459C-9E29-F44F6386EA3E}">
      <text>
        <r>
          <rPr>
            <b/>
            <sz val="9"/>
            <color indexed="81"/>
            <rFont val="Tahoma"/>
            <family val="2"/>
          </rPr>
          <t>Kurniawan:</t>
        </r>
        <r>
          <rPr>
            <sz val="9"/>
            <color indexed="81"/>
            <rFont val="Tahoma"/>
            <family val="2"/>
          </rPr>
          <t xml:space="preserve">
awal '14031497663
</t>
        </r>
      </text>
    </comment>
  </commentList>
</comments>
</file>

<file path=xl/sharedStrings.xml><?xml version="1.0" encoding="utf-8"?>
<sst xmlns="http://schemas.openxmlformats.org/spreadsheetml/2006/main" count="2714" uniqueCount="902">
  <si>
    <t>DATABASE TENAGA ALIH DAYA (PT PERTAMINA EP REGIONAL 4 ZONA 13 - DONGGI MATINDOK FIELD)</t>
  </si>
  <si>
    <t>Today</t>
  </si>
  <si>
    <t>Shift</t>
  </si>
  <si>
    <t>Up.</t>
  </si>
  <si>
    <t>Non Shift</t>
  </si>
  <si>
    <t>No</t>
  </si>
  <si>
    <t>Entitas</t>
  </si>
  <si>
    <t>Zona</t>
  </si>
  <si>
    <t>No. Pekerja
(Contractor)</t>
  </si>
  <si>
    <t>No Pekerja
(New format)</t>
  </si>
  <si>
    <t>Nama Karyawan</t>
  </si>
  <si>
    <t>Job Title</t>
  </si>
  <si>
    <t>Details Title</t>
  </si>
  <si>
    <t>Group</t>
  </si>
  <si>
    <t>Location</t>
  </si>
  <si>
    <t>Division</t>
  </si>
  <si>
    <t>Fungsi</t>
  </si>
  <si>
    <t>Department</t>
  </si>
  <si>
    <t>Spesific</t>
  </si>
  <si>
    <t>Job Group</t>
  </si>
  <si>
    <t>Kota Tempat Lahir</t>
  </si>
  <si>
    <t>Tanggal Lahir</t>
  </si>
  <si>
    <t>Age</t>
  </si>
  <si>
    <t>Age (Details)</t>
  </si>
  <si>
    <t>Retired Remaining
(Max. 56 YO)</t>
  </si>
  <si>
    <t>Kelompok Umur</t>
  </si>
  <si>
    <t>Kategori Pekerja</t>
  </si>
  <si>
    <t>Lokasi Kerja</t>
  </si>
  <si>
    <t>Area Kerja</t>
  </si>
  <si>
    <t>Shift / NonShift</t>
  </si>
  <si>
    <t>Education</t>
  </si>
  <si>
    <t>Jurusan Pendidikan Terakhir</t>
  </si>
  <si>
    <t>Last Education Institution</t>
  </si>
  <si>
    <t>Grade</t>
  </si>
  <si>
    <t xml:space="preserve">  Upah Dasar / BS (gross)  </t>
  </si>
  <si>
    <t xml:space="preserve"> Tunjangan Tetap
( misal: daerah) </t>
  </si>
  <si>
    <t>Contractor</t>
  </si>
  <si>
    <t>Reff No.</t>
  </si>
  <si>
    <t>Place of Hire</t>
  </si>
  <si>
    <t>Contract
(Started)</t>
  </si>
  <si>
    <t>Contract
(Ended)</t>
  </si>
  <si>
    <t>Contract Remaining</t>
  </si>
  <si>
    <t>Pengalaman Kerja Pertama</t>
  </si>
  <si>
    <t>Bergabung Pertama kali di Pertamina</t>
  </si>
  <si>
    <t>Kategory Project/ Rutin</t>
  </si>
  <si>
    <t>Nama Perusahaan Sebelum SHU</t>
  </si>
  <si>
    <t xml:space="preserve">Nama Atasan </t>
  </si>
  <si>
    <t>ID Pos Atasan</t>
  </si>
  <si>
    <t>Job Title User(Setingkat Manager - Pekerja Organik)</t>
  </si>
  <si>
    <t>Cost Center</t>
  </si>
  <si>
    <t>KTP No.</t>
  </si>
  <si>
    <t>NPWP No.</t>
  </si>
  <si>
    <t>Status Pernikahan</t>
  </si>
  <si>
    <t>Status</t>
  </si>
  <si>
    <t>Gender</t>
  </si>
  <si>
    <t>Agama</t>
  </si>
  <si>
    <t>Mobile</t>
  </si>
  <si>
    <t>Email</t>
  </si>
  <si>
    <t>Email (Pertamina)</t>
  </si>
  <si>
    <t>Address</t>
  </si>
  <si>
    <t>Kecamatan</t>
  </si>
  <si>
    <t>Kota</t>
  </si>
  <si>
    <t>Provinsi</t>
  </si>
  <si>
    <t>Kode Pos</t>
  </si>
  <si>
    <t>No Kartu Keluarga</t>
  </si>
  <si>
    <t>BPJS Tenaga Kerja</t>
  </si>
  <si>
    <t>BPJS Kesehatan</t>
  </si>
  <si>
    <t>BPJS Pensiun</t>
  </si>
  <si>
    <t>Nomor Kontak Emergency</t>
  </si>
  <si>
    <t>Nama Kontak Emergency</t>
  </si>
  <si>
    <t>Relationship</t>
  </si>
  <si>
    <t>MCU Updated</t>
  </si>
  <si>
    <t>MCU
Remaining</t>
  </si>
  <si>
    <t>Vaksin 1</t>
  </si>
  <si>
    <t>Vaksin 2</t>
  </si>
  <si>
    <t>365 Program</t>
  </si>
  <si>
    <t>Regional 4</t>
  </si>
  <si>
    <t>Zona 13 - Field</t>
  </si>
  <si>
    <t>1124 1223 034</t>
  </si>
  <si>
    <t>Sujianto Batias</t>
  </si>
  <si>
    <t>Driver Ambulance</t>
  </si>
  <si>
    <t>-</t>
  </si>
  <si>
    <t>Non Office</t>
  </si>
  <si>
    <t>Matindok</t>
  </si>
  <si>
    <t>Zona 13</t>
  </si>
  <si>
    <t>HSSE</t>
  </si>
  <si>
    <t>HSSE Operations Zona 13</t>
  </si>
  <si>
    <t>Worker</t>
  </si>
  <si>
    <t>Noge</t>
  </si>
  <si>
    <t>Mandays</t>
  </si>
  <si>
    <t>Donggi Matindok</t>
  </si>
  <si>
    <t>Onshore</t>
  </si>
  <si>
    <t>SLT/SMA/SMK</t>
  </si>
  <si>
    <t>Ilmu Pengetahuan Alam</t>
  </si>
  <si>
    <t>SMA Negeri 1 Batui</t>
  </si>
  <si>
    <t>D</t>
  </si>
  <si>
    <t>Tidak Ada</t>
  </si>
  <si>
    <t>PT Sentral Sari Jaya</t>
  </si>
  <si>
    <t>4710002085</t>
  </si>
  <si>
    <t>Rutin</t>
  </si>
  <si>
    <t>PT. Pertamina PEP Donggi Mantindok</t>
  </si>
  <si>
    <t>Indradi Noor Akbar</t>
  </si>
  <si>
    <t>BS431310D</t>
  </si>
  <si>
    <t>7201012512910001</t>
  </si>
  <si>
    <t>Menikah</t>
  </si>
  <si>
    <t>K/2</t>
  </si>
  <si>
    <t>Laki - Laki</t>
  </si>
  <si>
    <t>Islam</t>
  </si>
  <si>
    <t>0821 9442 1574</t>
  </si>
  <si>
    <t>sujiantobatiasmtd@gmail.com</t>
  </si>
  <si>
    <t>Desa Noge Dusun II, RT 002 / RW 002, Kelurahan Nonong</t>
  </si>
  <si>
    <t>Batui</t>
  </si>
  <si>
    <t>Banggai</t>
  </si>
  <si>
    <t>Sulawesi Tengah</t>
  </si>
  <si>
    <t>7201012005160003</t>
  </si>
  <si>
    <t>22040703948</t>
  </si>
  <si>
    <t>0001572079509</t>
  </si>
  <si>
    <t>0858 2413 6649</t>
  </si>
  <si>
    <t>Rismawati</t>
  </si>
  <si>
    <t>Istri</t>
  </si>
  <si>
    <t>√</t>
  </si>
  <si>
    <t>https://home.mycloud.com/action/share/17a4b128-48b1-4936-9db8-eee64d4e8118</t>
  </si>
  <si>
    <t>1124 1223 035</t>
  </si>
  <si>
    <t>Ansar Mansur</t>
  </si>
  <si>
    <t>Pemuka Fire &amp; Safety</t>
  </si>
  <si>
    <t>Admin. &amp; technical</t>
  </si>
  <si>
    <t>Watan Soppeng</t>
  </si>
  <si>
    <t>Diploma III</t>
  </si>
  <si>
    <t>Teknik Mesin Konsentrasi Mesin Produksi</t>
  </si>
  <si>
    <t>Politeknik Negeri Samarinda</t>
  </si>
  <si>
    <t>F</t>
  </si>
  <si>
    <t>6408041905910005</t>
  </si>
  <si>
    <t>0856 5626 0104</t>
  </si>
  <si>
    <t>ansarmansur5@gmail.com</t>
  </si>
  <si>
    <t>mk.ansar.mansur@pertamina.com</t>
  </si>
  <si>
    <t>Desa Bonebalantak</t>
  </si>
  <si>
    <t>Batui Selatan</t>
  </si>
  <si>
    <t>7201010503190005</t>
  </si>
  <si>
    <t>22040703914</t>
  </si>
  <si>
    <t>0001155672066</t>
  </si>
  <si>
    <t>0812 4462 0107</t>
  </si>
  <si>
    <t>Megawati Dg Masese</t>
  </si>
  <si>
    <t>https://home.mycloud.com/action/share/00762b37-1808-4899-b707-7bd0411a88a2</t>
  </si>
  <si>
    <t>1124 1223 036</t>
  </si>
  <si>
    <t>Harir A. Lako</t>
  </si>
  <si>
    <t>Petugas Fire &amp; Safety</t>
  </si>
  <si>
    <t>Nonong</t>
  </si>
  <si>
    <t>SMA</t>
  </si>
  <si>
    <t>E</t>
  </si>
  <si>
    <t>7201018017700001</t>
  </si>
  <si>
    <t>0821 9414 4463</t>
  </si>
  <si>
    <t>widiap373@gmail.com</t>
  </si>
  <si>
    <t>Desa Nonong, RT 001 / RW 001, Kelurahan Nonong</t>
  </si>
  <si>
    <t>7201012912100004</t>
  </si>
  <si>
    <t>22040703963</t>
  </si>
  <si>
    <t>0001566131567</t>
  </si>
  <si>
    <t>0822 9698 5149</t>
  </si>
  <si>
    <t>Misra</t>
  </si>
  <si>
    <t>https://home.mycloud.com/action/share/ef00fb7e-ed34-40e9-bd03-ef9aad0320b2</t>
  </si>
  <si>
    <t>1124 1223 001</t>
  </si>
  <si>
    <t>Ali Friansyah</t>
  </si>
  <si>
    <t>Luwuk</t>
  </si>
  <si>
    <t>Ilmu Pengetahuan Sosial</t>
  </si>
  <si>
    <t>SMA Negeri 2 Luwuk</t>
  </si>
  <si>
    <t>7201011006980001</t>
  </si>
  <si>
    <t>K/1</t>
  </si>
  <si>
    <t>0822 9608 9791</t>
  </si>
  <si>
    <t>alifriyansyah10@gmail.com</t>
  </si>
  <si>
    <t>Jalan Dr. Moh. Hatta, RT 014 / RW 006, Kelurahan Maahas</t>
  </si>
  <si>
    <t>Luwuk Selatan</t>
  </si>
  <si>
    <t>7201200704200002</t>
  </si>
  <si>
    <t>21097188532</t>
  </si>
  <si>
    <t>0001571461007</t>
  </si>
  <si>
    <t>0815 4306 6985</t>
  </si>
  <si>
    <t xml:space="preserve">Ulfia </t>
  </si>
  <si>
    <t>https://home.mycloud.com/action/share/3c1744fe-e732-4911-8065-d774829d91c9</t>
  </si>
  <si>
    <t>1124 1223 029</t>
  </si>
  <si>
    <t>Fredrik D Tinadji</t>
  </si>
  <si>
    <t>Poso</t>
  </si>
  <si>
    <t>S1/Sederajat</t>
  </si>
  <si>
    <t>Pendidikan Bimbingan dan Konseling</t>
  </si>
  <si>
    <t>Universitas Tompotika Luwuk</t>
  </si>
  <si>
    <t>7201010102850001</t>
  </si>
  <si>
    <t>K/3</t>
  </si>
  <si>
    <t>0822 6132 7893</t>
  </si>
  <si>
    <t>nyonkayu@gmail.com</t>
  </si>
  <si>
    <t>Desa Kayowa, RT 003 / RW 003, Kelurahan Kayowa</t>
  </si>
  <si>
    <t>7201010309140001</t>
  </si>
  <si>
    <t>22040703922</t>
  </si>
  <si>
    <t>0001828226981</t>
  </si>
  <si>
    <t>0857 5629 3169</t>
  </si>
  <si>
    <t xml:space="preserve">Dwyrahayu </t>
  </si>
  <si>
    <t>https://home.mycloud.com/action/share/1fa4d81f-e70b-4cf6-b1a4-0b92765910cd</t>
  </si>
  <si>
    <t>1124 1223 002</t>
  </si>
  <si>
    <t>Wayan Edi Jaya</t>
  </si>
  <si>
    <t>Balirejo</t>
  </si>
  <si>
    <t>Pendidikan Ilmu Pengetahuan Sosial</t>
  </si>
  <si>
    <t>7324050111920001</t>
  </si>
  <si>
    <t>Hindu</t>
  </si>
  <si>
    <t>0823 4748 5042</t>
  </si>
  <si>
    <t>wayanedijaya81@gmail.com</t>
  </si>
  <si>
    <t>mk.wayan.jaya@pertamina.com</t>
  </si>
  <si>
    <t>Desa Sukamaju I</t>
  </si>
  <si>
    <t>7201151408170016</t>
  </si>
  <si>
    <t>22040703898</t>
  </si>
  <si>
    <t>0001072856698</t>
  </si>
  <si>
    <t>0857 9130 4550</t>
  </si>
  <si>
    <t>Wayan Yudiari</t>
  </si>
  <si>
    <t>https://home.mycloud.com/action/share/5e343932-8812-4b7d-b879-3b3927efa15a</t>
  </si>
  <si>
    <t>1124 1223 037</t>
  </si>
  <si>
    <r>
      <t xml:space="preserve">Akmal </t>
    </r>
    <r>
      <rPr>
        <b/>
        <sz val="10"/>
        <color theme="1"/>
        <rFont val="Arial"/>
        <family val="2"/>
      </rPr>
      <t>(A)</t>
    </r>
  </si>
  <si>
    <t>Matugang</t>
  </si>
  <si>
    <t>Madrasah Aliyah Disamakan Palattae Kab. Bone</t>
  </si>
  <si>
    <t>7201090203840002</t>
  </si>
  <si>
    <t>0852 4066 7996</t>
  </si>
  <si>
    <t>akmalambotang@gmail.com</t>
  </si>
  <si>
    <t>Desa Kayowa</t>
  </si>
  <si>
    <t>7201102208130001</t>
  </si>
  <si>
    <t>22040703880</t>
  </si>
  <si>
    <t>0000912890924</t>
  </si>
  <si>
    <t>0822 6101 3365</t>
  </si>
  <si>
    <t>Rosna</t>
  </si>
  <si>
    <t>https://home.mycloud.com/action/share/f002d3ca-9c77-4cc0-8a93-d145107884c7</t>
  </si>
  <si>
    <t>1124 1223 038</t>
  </si>
  <si>
    <t>Alfikwan I Marida</t>
  </si>
  <si>
    <t>Tolando</t>
  </si>
  <si>
    <t>SMA Negeri 1 Batu</t>
  </si>
  <si>
    <t>7201010202960002</t>
  </si>
  <si>
    <t>0821 9718 2701</t>
  </si>
  <si>
    <t>alfikwan.marida@gmail.com</t>
  </si>
  <si>
    <t>mk.alfikwan.marida@pertamina.com</t>
  </si>
  <si>
    <t>Desa Tolando</t>
  </si>
  <si>
    <t>7201012202080033</t>
  </si>
  <si>
    <t>22040703930</t>
  </si>
  <si>
    <t>0001566130544</t>
  </si>
  <si>
    <t>0857 5702 4947</t>
  </si>
  <si>
    <t xml:space="preserve"> Israeni M Sia</t>
  </si>
  <si>
    <t>Ibu Kandung</t>
  </si>
  <si>
    <t>https://home.mycloud.com/action/share/8a3a47ff-51f2-4098-9aeb-0ba8758222ed</t>
  </si>
  <si>
    <t>0925 0825 001</t>
  </si>
  <si>
    <t>Deni Andrianto</t>
  </si>
  <si>
    <t>Taliabo</t>
  </si>
  <si>
    <t>S1</t>
  </si>
  <si>
    <t>Pendidikan Pancasila dan Kewarganegaraan</t>
  </si>
  <si>
    <t>7201010310890003</t>
  </si>
  <si>
    <t>0822 9605 4400</t>
  </si>
  <si>
    <t>deniandrianto68@gmail.com</t>
  </si>
  <si>
    <t>Dusun II Noge, Kelurahan Nonong, Kabupaten Banggai</t>
  </si>
  <si>
    <t>7201013001120001</t>
  </si>
  <si>
    <t>25112805160</t>
  </si>
  <si>
    <t xml:space="preserve">0001571600081	</t>
  </si>
  <si>
    <t>0858 2330 3503</t>
  </si>
  <si>
    <t>Rajmawati</t>
  </si>
  <si>
    <t>https://home.mycloud.com/action/share/ab03f3b5-f76e-4188-aa89-8415ee0bae4b</t>
  </si>
  <si>
    <t>1124 1223 040</t>
  </si>
  <si>
    <t xml:space="preserve">Awal Dwi Sekti </t>
  </si>
  <si>
    <t>Ujung Pandang</t>
  </si>
  <si>
    <t>Kesehatan Masyarakat</t>
  </si>
  <si>
    <t>Universitas Muslim Indonesia, Makassar</t>
  </si>
  <si>
    <t>7201042605940003</t>
  </si>
  <si>
    <t>0822 5950 5262</t>
  </si>
  <si>
    <t>awaldwisekti13@gmail.com</t>
  </si>
  <si>
    <t>mk.awal.sekti@pertamina.com</t>
  </si>
  <si>
    <t>Asrama Kodim 1308, RT 004 / RW 002, Kelurahan Bungin</t>
  </si>
  <si>
    <t>7201042409190001</t>
  </si>
  <si>
    <t>22040703807</t>
  </si>
  <si>
    <t>0001105799488</t>
  </si>
  <si>
    <t>0853 1051 1624</t>
  </si>
  <si>
    <t>Sri Wahyuni Edar</t>
  </si>
  <si>
    <t>https://home.mycloud.com/action/share/ee14cdf1-a38a-4a65-abaf-5f336b608c54</t>
  </si>
  <si>
    <t>1124 1223 048</t>
  </si>
  <si>
    <t>Muh Arsyal Ramdani</t>
  </si>
  <si>
    <t>Donggi &amp; Matindok Field</t>
  </si>
  <si>
    <t>7201013010030001</t>
  </si>
  <si>
    <t>0822 9627 4553</t>
  </si>
  <si>
    <t>ramdaniarsyal11@gmail.com</t>
  </si>
  <si>
    <t>Desa Bakung</t>
  </si>
  <si>
    <t>7201013105100004</t>
  </si>
  <si>
    <t>23196240917</t>
  </si>
  <si>
    <t>0000136146554</t>
  </si>
  <si>
    <t>0822 7159 5707</t>
  </si>
  <si>
    <t xml:space="preserve">Dahlia </t>
  </si>
  <si>
    <t>https://home.mycloud.com/action/share/9bb3d45e-ce93-4888-b6c2-b9d1174aeced</t>
  </si>
  <si>
    <t>0925 0825 002</t>
  </si>
  <si>
    <t>Muh Palmi</t>
  </si>
  <si>
    <t>Teknik Mesin</t>
  </si>
  <si>
    <t>Institut Teknologi Nasional Malang</t>
  </si>
  <si>
    <t>7201011203000001</t>
  </si>
  <si>
    <t>Belum Menikah</t>
  </si>
  <si>
    <t>TK/0</t>
  </si>
  <si>
    <t>0822 9385 3550</t>
  </si>
  <si>
    <t>muhpalmi@gmail.com</t>
  </si>
  <si>
    <t>7201011702080212</t>
  </si>
  <si>
    <t>25112805152</t>
  </si>
  <si>
    <t>0000136168391</t>
  </si>
  <si>
    <t>0823 4794 1216</t>
  </si>
  <si>
    <t>Monalita Tiurang</t>
  </si>
  <si>
    <t>https://home.mycloud.com/action/share/d33b1bf3-c6c4-4f62-b9f5-db75d6e004d2</t>
  </si>
  <si>
    <t>1124 1223 041</t>
  </si>
  <si>
    <t>Halim</t>
  </si>
  <si>
    <t>SMU PGRI Bahonsuai</t>
  </si>
  <si>
    <t>7201011203780001</t>
  </si>
  <si>
    <t>0853 4079 7391</t>
  </si>
  <si>
    <t>hsehalim27@gmail.com</t>
  </si>
  <si>
    <t>Desa Nonong Dusun I, RT 001 / RW 001, Kelurahan Nonong</t>
  </si>
  <si>
    <t>7201011402080047</t>
  </si>
  <si>
    <t>22040703955</t>
  </si>
  <si>
    <t>0000912113673</t>
  </si>
  <si>
    <t>0815 2789 4364</t>
  </si>
  <si>
    <t>Fiona</t>
  </si>
  <si>
    <t>Anak Kandung</t>
  </si>
  <si>
    <t>https://home.mycloud.com/action/share/c5a52de3-8148-4629-89a9-c6e07805fce7</t>
  </si>
  <si>
    <t>1124 1223 042</t>
  </si>
  <si>
    <t>Mustamar Dg Magangka</t>
  </si>
  <si>
    <t>7201011704860011</t>
  </si>
  <si>
    <t>0853 4200 8134</t>
  </si>
  <si>
    <t>mustamar713@gmail.com</t>
  </si>
  <si>
    <t>Desa Noge, RT 002 / RW 002, Kelurahan Nonong</t>
  </si>
  <si>
    <t>7201010407110001</t>
  </si>
  <si>
    <t>22040703815</t>
  </si>
  <si>
    <t>0001432273555</t>
  </si>
  <si>
    <t xml:space="preserve">0858 2395 8090 </t>
  </si>
  <si>
    <t xml:space="preserve">Merlia </t>
  </si>
  <si>
    <t>https://home.mycloud.com/action/share/d0670d92-520a-4607-af1c-bcc245381d50</t>
  </si>
  <si>
    <t>1124 1223 043</t>
  </si>
  <si>
    <r>
      <t xml:space="preserve">Akmal </t>
    </r>
    <r>
      <rPr>
        <b/>
        <sz val="10"/>
        <color theme="1"/>
        <rFont val="Arial"/>
        <family val="2"/>
      </rPr>
      <t>(B)</t>
    </r>
  </si>
  <si>
    <t>Lamoncong</t>
  </si>
  <si>
    <t>SMA Negeri 11 Konawe Selatan</t>
  </si>
  <si>
    <t>7405051703940001</t>
  </si>
  <si>
    <t>0821 9534 4685</t>
  </si>
  <si>
    <t>akhmalkukizunawa94@gmail.com</t>
  </si>
  <si>
    <t>mk.akmal01@pertamina.com</t>
  </si>
  <si>
    <t>Dusun II Noge, Kelurahan Nonong</t>
  </si>
  <si>
    <t>7201012308160003</t>
  </si>
  <si>
    <t>22040703906</t>
  </si>
  <si>
    <t>0001573413535</t>
  </si>
  <si>
    <t>0823 4869 4252</t>
  </si>
  <si>
    <t>Mustamir</t>
  </si>
  <si>
    <t>Ayah Kandung</t>
  </si>
  <si>
    <t>https://home.mycloud.com/action/share/e9c9281d-36c5-478a-a591-1e047a1cf0be</t>
  </si>
  <si>
    <t>1124 1223 003</t>
  </si>
  <si>
    <t>Rizal Tamoreka</t>
  </si>
  <si>
    <t>Donggi</t>
  </si>
  <si>
    <t>Toili</t>
  </si>
  <si>
    <t>7201090511830002</t>
  </si>
  <si>
    <t>0858 2371 8389</t>
  </si>
  <si>
    <t>ronitamoreka@gmail.com</t>
  </si>
  <si>
    <t>Desa Singkoyo</t>
  </si>
  <si>
    <t>7201091402080181</t>
  </si>
  <si>
    <t>22006491678</t>
  </si>
  <si>
    <t>0000912673506</t>
  </si>
  <si>
    <t xml:space="preserve"> 0858 2538 5003</t>
  </si>
  <si>
    <t>Dwi vebriani . Hs</t>
  </si>
  <si>
    <t>https://home.mycloud.com/action/share/0d0ce91e-b2b9-40e2-9ed2-c2e3b20159d6</t>
  </si>
  <si>
    <t>1124 1223 004</t>
  </si>
  <si>
    <t>Arianto Yahya</t>
  </si>
  <si>
    <t>Pemuka Operator Alat Berat</t>
  </si>
  <si>
    <t>SCM</t>
  </si>
  <si>
    <t>Supply Chain Management Zona 13</t>
  </si>
  <si>
    <t xml:space="preserve">Administrasi Perkantoran </t>
  </si>
  <si>
    <t>SMK DHU'AFA Banggai</t>
  </si>
  <si>
    <t>Irham Saputra</t>
  </si>
  <si>
    <t>BS431710</t>
  </si>
  <si>
    <t>7201010401950002</t>
  </si>
  <si>
    <t>0851 4634 2761</t>
  </si>
  <si>
    <t>mk.arianto.yahya@pertamina.com</t>
  </si>
  <si>
    <t>7201012309160001</t>
  </si>
  <si>
    <t>22006491652</t>
  </si>
  <si>
    <t>0001067222867</t>
  </si>
  <si>
    <t>0895 3708 8772</t>
  </si>
  <si>
    <t xml:space="preserve">Rama Zulkifli </t>
  </si>
  <si>
    <t>Adik kandung</t>
  </si>
  <si>
    <t>https://home.mycloud.com/action/share/46d4afc1-f35a-4ae8-bd87-70463a3e1e19</t>
  </si>
  <si>
    <t>1124 1223 044</t>
  </si>
  <si>
    <t>Marjan Karim</t>
  </si>
  <si>
    <t>Petugas Admin II Warehouse</t>
  </si>
  <si>
    <t>Lalengan</t>
  </si>
  <si>
    <t>SLTA Kabupaten Banggai Kepulauan</t>
  </si>
  <si>
    <t>7207070202760001</t>
  </si>
  <si>
    <t>0822 5989 6633</t>
  </si>
  <si>
    <t>marjankarim205@gmail.com</t>
  </si>
  <si>
    <t>mk.marjan.karim@pertamina.com</t>
  </si>
  <si>
    <t>Desa Nonong</t>
  </si>
  <si>
    <t>7201012912170001</t>
  </si>
  <si>
    <t>22040703781</t>
  </si>
  <si>
    <t>0001574098086</t>
  </si>
  <si>
    <t>0852 1379 5984</t>
  </si>
  <si>
    <t>Inci</t>
  </si>
  <si>
    <t>https://home.mycloud.com/action/share/1108ed5d-c833-429b-867f-df9b91348e84</t>
  </si>
  <si>
    <t>0925 0525 017</t>
  </si>
  <si>
    <t>Kasman</t>
  </si>
  <si>
    <t>Tala Bangi</t>
  </si>
  <si>
    <t>SMA/Sederajat</t>
  </si>
  <si>
    <t>Ilmu Pengetahuan Alam (SMA Negeri 1 Patimpeng Kabupaten Bone)</t>
  </si>
  <si>
    <t>SMA Negeri 1 Patimpeng Kabupaten Bone</t>
  </si>
  <si>
    <t>7308271801980001</t>
  </si>
  <si>
    <t>K/0</t>
  </si>
  <si>
    <t>0858 2511 8920</t>
  </si>
  <si>
    <t>kasmanmaho@gmail.com</t>
  </si>
  <si>
    <t>Kuanto, Desa Nonong, Kec. Batui, Kab. Banggai</t>
  </si>
  <si>
    <t>7201012102230003</t>
  </si>
  <si>
    <t>22070191964</t>
  </si>
  <si>
    <t>0001940238584</t>
  </si>
  <si>
    <t>0858 2415 7838</t>
  </si>
  <si>
    <t>Intan Nursakina</t>
  </si>
  <si>
    <t>https://home.mycloud.com/action/share/cc02de4c-061a-40f4-ac6b-bf16bfa57bbd</t>
  </si>
  <si>
    <t>1124 1223 045</t>
  </si>
  <si>
    <t>Lukman Tasakka</t>
  </si>
  <si>
    <t>Kuantok</t>
  </si>
  <si>
    <t>SD/Sederajat</t>
  </si>
  <si>
    <t>SD Negeri Inpres Masing, Batui</t>
  </si>
  <si>
    <t>7201010406800001</t>
  </si>
  <si>
    <t>0858 2511 8937</t>
  </si>
  <si>
    <t>Dusun III Kuantok, Kelurahan Nonong</t>
  </si>
  <si>
    <t>7201011702080143</t>
  </si>
  <si>
    <t>20022398158</t>
  </si>
  <si>
    <t>0001278105164</t>
  </si>
  <si>
    <t>0857 5699 9852</t>
  </si>
  <si>
    <t>Nuraeni Lukman</t>
  </si>
  <si>
    <t>https://home.mycloud.com/action/share/56be8a37-9a9c-4119-a8ea-9e85fa314748</t>
  </si>
  <si>
    <t>1124 1223 031</t>
  </si>
  <si>
    <t>I Nengah Darsana</t>
  </si>
  <si>
    <t>Kamiwangi</t>
  </si>
  <si>
    <t xml:space="preserve">SMP/Sederajat </t>
  </si>
  <si>
    <t>PKBM Mengkudu, Banggai</t>
  </si>
  <si>
    <t>7201121004780001</t>
  </si>
  <si>
    <t>0813 4115 4439</t>
  </si>
  <si>
    <t>i.ketut.margi@gmail.com</t>
  </si>
  <si>
    <t>Desa Kamiwangi, RW 004, Kelurahan Kamiwangi</t>
  </si>
  <si>
    <t>Toili Barat</t>
  </si>
  <si>
    <t>7201122002080164</t>
  </si>
  <si>
    <t>20022398240</t>
  </si>
  <si>
    <t>0001567252934</t>
  </si>
  <si>
    <t>0857 5738 8184</t>
  </si>
  <si>
    <t xml:space="preserve">Jelfi </t>
  </si>
  <si>
    <t>https://home.mycloud.com/action/share/87a73ebf-1e89-42bb-ae6f-f10f61dc40cd</t>
  </si>
  <si>
    <t>1124 1223 032</t>
  </si>
  <si>
    <t>I Gusti Ngurah Baliarta</t>
  </si>
  <si>
    <t>Sekolah Menengah Atas Banggai</t>
  </si>
  <si>
    <t>7201120601810001</t>
  </si>
  <si>
    <t>0858 2304 7847</t>
  </si>
  <si>
    <t>mk.gusti.baliarta@pertamina.com</t>
  </si>
  <si>
    <t>Desa Kamiwangi, RT 001 / RW 002, Kelurahan Kamiwangi</t>
  </si>
  <si>
    <t>7201121710120005</t>
  </si>
  <si>
    <t>20022398299</t>
  </si>
  <si>
    <t>0000197881571</t>
  </si>
  <si>
    <t>0856 9657 1513</t>
  </si>
  <si>
    <t xml:space="preserve">Gusti Ayu Purwaningsi </t>
  </si>
  <si>
    <t>https://home.mycloud.com/action/share/b2d39736-6335-4f07-8752-7d2776e9e451</t>
  </si>
  <si>
    <t>1124 1223 005</t>
  </si>
  <si>
    <t>Irvan Parenden</t>
  </si>
  <si>
    <t>Palopo</t>
  </si>
  <si>
    <t>Sekolah Teknologi Menengah (STM) Negeri Palu</t>
  </si>
  <si>
    <t>7201142606760001</t>
  </si>
  <si>
    <t>0857 5704 9499</t>
  </si>
  <si>
    <t>mk.irpan.parenden@pertamina.com</t>
  </si>
  <si>
    <t>Desa Karang Anyar RT 007, Kelurahan Karang Anyar</t>
  </si>
  <si>
    <t>Moilong</t>
  </si>
  <si>
    <t>7201142101140003</t>
  </si>
  <si>
    <t>20022398380</t>
  </si>
  <si>
    <t>0002203179884</t>
  </si>
  <si>
    <t>0822 7103 2849</t>
  </si>
  <si>
    <t>Indah Yusfy Amelia</t>
  </si>
  <si>
    <t>https://home.mycloud.com/action/share/e3e5eb2c-6f74-4308-a349-d9fa8c927565</t>
  </si>
  <si>
    <t>1124 1223 006</t>
  </si>
  <si>
    <t>Sunita Ayu Purnamaningsi</t>
  </si>
  <si>
    <t>Petugas Admin II</t>
  </si>
  <si>
    <t>Admin L&amp;R</t>
  </si>
  <si>
    <t>Office</t>
  </si>
  <si>
    <t>LR</t>
  </si>
  <si>
    <t>L&amp;R</t>
  </si>
  <si>
    <t>Palu</t>
  </si>
  <si>
    <t>Ilmu Kelautan</t>
  </si>
  <si>
    <t>Institut Pertanian Bogor</t>
  </si>
  <si>
    <t>7201014106900001</t>
  </si>
  <si>
    <t>Perempuan</t>
  </si>
  <si>
    <t>0812 4738 9199</t>
  </si>
  <si>
    <t>ayusunita@gmail.com</t>
  </si>
  <si>
    <t>mk.sunita.ayu@pertamina.com</t>
  </si>
  <si>
    <t>Jalan ST. Hasanudin, RT 004 / RW 002, Kelurahan Balantang</t>
  </si>
  <si>
    <t>7201140309240003</t>
  </si>
  <si>
    <t>20022398208</t>
  </si>
  <si>
    <t>0002776509742</t>
  </si>
  <si>
    <t>0812 4330 9249</t>
  </si>
  <si>
    <t>Lapo Ajis Kamamu</t>
  </si>
  <si>
    <t>Suami</t>
  </si>
  <si>
    <t>https://home.mycloud.com/action/share/84d382e4-0b15-4af4-9171-fd6de7a9c99d</t>
  </si>
  <si>
    <t>1124 1223 033</t>
  </si>
  <si>
    <t>Dewi Setiawati</t>
  </si>
  <si>
    <t>Petugas Admin III</t>
  </si>
  <si>
    <t>Admin RAM</t>
  </si>
  <si>
    <t>RAM</t>
  </si>
  <si>
    <t>Bakung</t>
  </si>
  <si>
    <t>Manajemen Pendidikan</t>
  </si>
  <si>
    <t>Universitas Negeri Gorontalo</t>
  </si>
  <si>
    <t>Amirullah</t>
  </si>
  <si>
    <t>BS434110</t>
  </si>
  <si>
    <t>7201015204900001</t>
  </si>
  <si>
    <t>0821 9234 4486</t>
  </si>
  <si>
    <t>setiawatidewisetiawati@gmail.com</t>
  </si>
  <si>
    <t>mk.dewi.m@pertamina.com</t>
  </si>
  <si>
    <t>Desa Bakung, RT 003 / RW 002, Kelurahan Bakung</t>
  </si>
  <si>
    <t>7201012410150001</t>
  </si>
  <si>
    <t>20022398182</t>
  </si>
  <si>
    <t>0001266526618</t>
  </si>
  <si>
    <t>0821 9516 6099</t>
  </si>
  <si>
    <t>Fitriani Mustamin</t>
  </si>
  <si>
    <t>Kakak Kandung</t>
  </si>
  <si>
    <t>https://home.mycloud.com/action/share/93c9ca29-70c3-443c-b5d9-16c62e16d4d7</t>
  </si>
  <si>
    <t>1124 1223 046</t>
  </si>
  <si>
    <t>Marini Astary</t>
  </si>
  <si>
    <t>Admin SCM-GS/HC</t>
  </si>
  <si>
    <t>HC</t>
  </si>
  <si>
    <t>HR - GS</t>
  </si>
  <si>
    <t>Keperawatan</t>
  </si>
  <si>
    <t>Akademi Keperawatan Luwuk</t>
  </si>
  <si>
    <t>Arya Nugraha</t>
  </si>
  <si>
    <t>H0100014</t>
  </si>
  <si>
    <t>7201015703930001</t>
  </si>
  <si>
    <t>0812 4567 9563</t>
  </si>
  <si>
    <t>astaryastary@gmail.com</t>
  </si>
  <si>
    <t>mk.marini.astary@pertamina.com</t>
  </si>
  <si>
    <t>Desa Nonong, RT 002  RW 002, Kelurahan Nonong</t>
  </si>
  <si>
    <t>7201010112170020</t>
  </si>
  <si>
    <t>19061743365</t>
  </si>
  <si>
    <t>0002053883823</t>
  </si>
  <si>
    <t>0856 5998 8683</t>
  </si>
  <si>
    <t>Pramudya Wisnu Patria</t>
  </si>
  <si>
    <t>https://home.mycloud.com/action/share/a043114c-53c6-4c87-9f0c-e9c952bc4cf7</t>
  </si>
  <si>
    <t>1124 1223 007</t>
  </si>
  <si>
    <t>Ali Mukhtar Mohammad Amin</t>
  </si>
  <si>
    <t>7201010202770005</t>
  </si>
  <si>
    <t>alimuhtar0277@gmail.com</t>
  </si>
  <si>
    <t>Desa Dongin</t>
  </si>
  <si>
    <t>7201012810100001</t>
  </si>
  <si>
    <t>22026728349</t>
  </si>
  <si>
    <t>0001570528653</t>
  </si>
  <si>
    <t>0852 4039 6077</t>
  </si>
  <si>
    <t>Sarifah</t>
  </si>
  <si>
    <t>https://home.mycloud.com/action/share/c63e85b6-1fab-4391-b93a-f72b136588fb</t>
  </si>
  <si>
    <t>1124 1223 008</t>
  </si>
  <si>
    <t>Agus Rudiyanto</t>
  </si>
  <si>
    <t>Tohitisari</t>
  </si>
  <si>
    <t>SMPN Bitung</t>
  </si>
  <si>
    <t>7201091212810006</t>
  </si>
  <si>
    <t>0822 9202 2215</t>
  </si>
  <si>
    <t>agusrudiyantopo@gmail.com</t>
  </si>
  <si>
    <t>Desa Pandan Wangi</t>
  </si>
  <si>
    <t>7201122304120005</t>
  </si>
  <si>
    <t>22026728240</t>
  </si>
  <si>
    <t>0002195035255</t>
  </si>
  <si>
    <t>0857 5681 5767</t>
  </si>
  <si>
    <t>Nun Maliki</t>
  </si>
  <si>
    <t>https://home.mycloud.com/action/share/18ba1cd1-e34f-4e7b-8eca-5f47518ced24</t>
  </si>
  <si>
    <t>1124 1223 009</t>
  </si>
  <si>
    <t>I Gede Ariana</t>
  </si>
  <si>
    <t>Teknik Pertambangan</t>
  </si>
  <si>
    <t>Universitas Pejuang Republik Indonesia, Makassar</t>
  </si>
  <si>
    <t>7201120106970001</t>
  </si>
  <si>
    <t>0815 2765 4759</t>
  </si>
  <si>
    <t>agede6645@gmail.com</t>
  </si>
  <si>
    <t>Desa Kamiwangi</t>
  </si>
  <si>
    <t>7201120209200001</t>
  </si>
  <si>
    <t>22016675245</t>
  </si>
  <si>
    <t>0001572290908</t>
  </si>
  <si>
    <t>0852 1387 2183</t>
  </si>
  <si>
    <t>Ni Putu Maryanti</t>
  </si>
  <si>
    <t>https://home.mycloud.com/action/share/ff210420-74cc-4e46-af5e-3a9d9c077854</t>
  </si>
  <si>
    <t>1124 1223 047</t>
  </si>
  <si>
    <t>I Putu Adnyana Wijaya</t>
  </si>
  <si>
    <t>Karya Makmur</t>
  </si>
  <si>
    <t>Ekonomi</t>
  </si>
  <si>
    <t>Universitas Sintuwu Maroso, Poso</t>
  </si>
  <si>
    <t>7201120608970001</t>
  </si>
  <si>
    <t>0858 2354 0655</t>
  </si>
  <si>
    <t>adnyanap514@gmail.com</t>
  </si>
  <si>
    <t>Desa Karya Makmur, RT 001 / RW 003, Kelurahan Karya Makmur</t>
  </si>
  <si>
    <t>7201121009210001</t>
  </si>
  <si>
    <t>22040703831</t>
  </si>
  <si>
    <t>0000913330697</t>
  </si>
  <si>
    <t xml:space="preserve"> 0853 9892 2141</t>
  </si>
  <si>
    <t>Marniyastiti</t>
  </si>
  <si>
    <t>https://home.mycloud.com/action/share/2e7d6e66-066c-41cf-ab2f-365d34c7e04a</t>
  </si>
  <si>
    <t>1223 1223 052</t>
  </si>
  <si>
    <t>Mursalun Lasuru</t>
  </si>
  <si>
    <t>Rata</t>
  </si>
  <si>
    <t>PKBM Teratai Banggai</t>
  </si>
  <si>
    <t>7201121212710001</t>
  </si>
  <si>
    <t>0821 9056 3917</t>
  </si>
  <si>
    <t>lasurumursalun@gmail.com</t>
  </si>
  <si>
    <t>7501120102080178</t>
  </si>
  <si>
    <t>22040703989</t>
  </si>
  <si>
    <t>0003048913934</t>
  </si>
  <si>
    <t xml:space="preserve"> 0823 9312 4012</t>
  </si>
  <si>
    <t>Murat</t>
  </si>
  <si>
    <t>https://home.mycloud.com/action/share/66a2ac4a-ad08-4237-ac3d-67326198b2c4</t>
  </si>
  <si>
    <t>1124 1223 010</t>
  </si>
  <si>
    <t>Subandi</t>
  </si>
  <si>
    <t>Lumajang</t>
  </si>
  <si>
    <t>SMA Negeri Toili</t>
  </si>
  <si>
    <t>7201091707720003</t>
  </si>
  <si>
    <t>0812 4528 0333</t>
  </si>
  <si>
    <t>masbandi.hse@gmail.com</t>
  </si>
  <si>
    <t>mk.subandi3@pertamina.com</t>
  </si>
  <si>
    <t>Desa Rusa Kencana, RT 002 / RW 001, Kelurahan Rusa Kencana</t>
  </si>
  <si>
    <t>7201092002080128</t>
  </si>
  <si>
    <t>22040703997</t>
  </si>
  <si>
    <t>0002195993946</t>
  </si>
  <si>
    <t xml:space="preserve"> 0815 2741 3500</t>
  </si>
  <si>
    <t>Iis</t>
  </si>
  <si>
    <t>https://home.mycloud.com/action/share/b7689e62-ad24-49ea-b7fd-8b15cdaaa317</t>
  </si>
  <si>
    <t>1124 1223 011</t>
  </si>
  <si>
    <t>Budi Santoso</t>
  </si>
  <si>
    <t>Tirta Kencana</t>
  </si>
  <si>
    <t>SMK Negeri 1 Moilong</t>
  </si>
  <si>
    <t>7201090808840003</t>
  </si>
  <si>
    <t>0813 7788 7781</t>
  </si>
  <si>
    <t>budhisantoso881984@gmail.com</t>
  </si>
  <si>
    <t>Desa Sentral Sari</t>
  </si>
  <si>
    <t>7201091001170001</t>
  </si>
  <si>
    <t>22026728315</t>
  </si>
  <si>
    <t>0002195029089</t>
  </si>
  <si>
    <t>0852 9115 4245</t>
  </si>
  <si>
    <t>Asty</t>
  </si>
  <si>
    <t>https://home.mycloud.com/action/share/c3b55148-6a97-4729-aa13-d69ca881f0b7</t>
  </si>
  <si>
    <t>1124 1223 012</t>
  </si>
  <si>
    <t>I Komang Santika</t>
  </si>
  <si>
    <t>Sindang Sari</t>
  </si>
  <si>
    <t>Pendidikan Sejarah</t>
  </si>
  <si>
    <t>7201121903920001</t>
  </si>
  <si>
    <t>0858 2320 0747</t>
  </si>
  <si>
    <t>komangsantika1992@gmail.com</t>
  </si>
  <si>
    <t>mk.komang.santika@pertamina.com</t>
  </si>
  <si>
    <t>Desa Sindang Sari</t>
  </si>
  <si>
    <t>7201120802190004</t>
  </si>
  <si>
    <t>22026728265</t>
  </si>
  <si>
    <t>0002227874229</t>
  </si>
  <si>
    <t>0856 9656 2524</t>
  </si>
  <si>
    <t xml:space="preserve">Ni Made Rai Raniasih </t>
  </si>
  <si>
    <t>https://home.mycloud.com/action/share/e5e5440d-82f6-47a5-b7e4-c7f07857bbfd</t>
  </si>
  <si>
    <t>1124 1223 030</t>
  </si>
  <si>
    <t>Indra Natalianto Patasik</t>
  </si>
  <si>
    <t>Tirta Sari</t>
  </si>
  <si>
    <t>Ilmu Politik</t>
  </si>
  <si>
    <t>Universitas Tadulako, Palu</t>
  </si>
  <si>
    <t>7201091912920001</t>
  </si>
  <si>
    <t>Kristen</t>
  </si>
  <si>
    <t>0823 3185 9490</t>
  </si>
  <si>
    <t>indrapatasik@gmail.com</t>
  </si>
  <si>
    <t>Desa Tirta Sari, RT 001 / RW 002, Kelurahan Tirta Sari</t>
  </si>
  <si>
    <t>7201092708190001</t>
  </si>
  <si>
    <t>22048369049</t>
  </si>
  <si>
    <t>0000136346049</t>
  </si>
  <si>
    <t>0852 5524 6294</t>
  </si>
  <si>
    <t>Ni Wayan Novita</t>
  </si>
  <si>
    <t>https://home.mycloud.com/action/share/7b14cd8d-7c58-424f-9ca3-34c34338509c</t>
  </si>
  <si>
    <t>1124 1223 013</t>
  </si>
  <si>
    <t>Kd Wiyad Nyana</t>
  </si>
  <si>
    <t>SMA Negeri 1 Toili Barat</t>
  </si>
  <si>
    <t>7201120412900002</t>
  </si>
  <si>
    <t>0821 9197 8854</t>
  </si>
  <si>
    <t>kadekwiadnyana061@gmail.com</t>
  </si>
  <si>
    <t>7201122102130023</t>
  </si>
  <si>
    <t>22040703856</t>
  </si>
  <si>
    <t>0001572325176</t>
  </si>
  <si>
    <t>0858 2512 8972</t>
  </si>
  <si>
    <t>Ini Ketut Siti Artini</t>
  </si>
  <si>
    <t>https://home.mycloud.com/action/share/f879286f-6bbd-4f63-82d6-24e88cda9b16</t>
  </si>
  <si>
    <t>1124 1223 014</t>
  </si>
  <si>
    <t>I Nengah Rudi Artika</t>
  </si>
  <si>
    <t>7201121507890002</t>
  </si>
  <si>
    <t>0815 2461 7554</t>
  </si>
  <si>
    <t>nengahrudiartika@gmail.com</t>
  </si>
  <si>
    <t>mk.nengah.artika@pertamina.com</t>
  </si>
  <si>
    <t>7201121309170001</t>
  </si>
  <si>
    <t>'22026728257</t>
  </si>
  <si>
    <t>0001570528664</t>
  </si>
  <si>
    <t>0856 5695 3154</t>
  </si>
  <si>
    <t xml:space="preserve">Kadek Meriani </t>
  </si>
  <si>
    <t>https://home.mycloud.com/action/share/9eb39f59-abe3-4e1a-b2f1-0b9083115bf0</t>
  </si>
  <si>
    <t>1124 1223 015</t>
  </si>
  <si>
    <t xml:space="preserve">Sukardi Jalisingi </t>
  </si>
  <si>
    <t>Tataba</t>
  </si>
  <si>
    <t>PKBM Tunas Jaya, Banggai</t>
  </si>
  <si>
    <t>7201091512750003</t>
  </si>
  <si>
    <t>0853 9509 1111</t>
  </si>
  <si>
    <t>Adiismon2@gmail.com</t>
  </si>
  <si>
    <t>Jalan Samratulangi, RT 001 / RW 002. Kelurahan Singkoyo</t>
  </si>
  <si>
    <t>7201091702080326</t>
  </si>
  <si>
    <t>22026728331</t>
  </si>
  <si>
    <t>0001570528686</t>
  </si>
  <si>
    <t>0853 9595 2222</t>
  </si>
  <si>
    <t>Sa'dia</t>
  </si>
  <si>
    <t>https://home.mycloud.com/action/share/d3f3bd36-cc16-4ad9-a5eb-05fc3f942a4b</t>
  </si>
  <si>
    <t>1124 1223 016</t>
  </si>
  <si>
    <t>Yotam</t>
  </si>
  <si>
    <t>Rantepao</t>
  </si>
  <si>
    <t>7201121802760001</t>
  </si>
  <si>
    <t>0813 5513 4043</t>
  </si>
  <si>
    <t>yotamocey76@gmail.com</t>
  </si>
  <si>
    <t>Desa Bukti Markati, RT 002 / RW 001, kelurahan Bukit Markati</t>
  </si>
  <si>
    <t>7201123001080182</t>
  </si>
  <si>
    <t>22026728273</t>
  </si>
  <si>
    <t>0001155331484</t>
  </si>
  <si>
    <t>0822 9939 9598</t>
  </si>
  <si>
    <t>Dewi Banga</t>
  </si>
  <si>
    <t>https://home.mycloud.com/action/share/982fd31b-a42d-4c88-b83f-50891d928bb0</t>
  </si>
  <si>
    <t>1124 1223 017</t>
  </si>
  <si>
    <t>Thamar Thalib Mbau</t>
  </si>
  <si>
    <t>7201092808900001</t>
  </si>
  <si>
    <t>0821 9689 0897</t>
  </si>
  <si>
    <t>thamar.tm90@gmail.com</t>
  </si>
  <si>
    <t>mk.thamar.mbau@pertamina.com</t>
  </si>
  <si>
    <t>Desa Tirta Kencana, RT 009 / RW 002, Kelurahan Tirta Kencana</t>
  </si>
  <si>
    <t>7201090204180006</t>
  </si>
  <si>
    <t>22040703849</t>
  </si>
  <si>
    <t>0003100913807</t>
  </si>
  <si>
    <t>0822 4098 5041</t>
  </si>
  <si>
    <t>Arina Sulaya</t>
  </si>
  <si>
    <t>https://home.mycloud.com/action/share/35ad1109-ba9e-456b-9291-e54956bd7ab5</t>
  </si>
  <si>
    <t>1124 1223 018</t>
  </si>
  <si>
    <t>Arie Kurniawan</t>
  </si>
  <si>
    <t>Hiperkes dan Keselamatan Kerja</t>
  </si>
  <si>
    <t>Akademi Hiperkes Makassar</t>
  </si>
  <si>
    <t>7201091003960002</t>
  </si>
  <si>
    <t>0812 4182 4848</t>
  </si>
  <si>
    <t>ariekurniawan4683@gmail.com</t>
  </si>
  <si>
    <t>Desa Tirta Jaya, RT 001 / RW 002, Kelurahan Tirta Jaya</t>
  </si>
  <si>
    <t>7201092802180009</t>
  </si>
  <si>
    <t>22040703971</t>
  </si>
  <si>
    <t>0000136224461</t>
  </si>
  <si>
    <t>0812 4030 7895</t>
  </si>
  <si>
    <t>Novita susanti wondal</t>
  </si>
  <si>
    <t>Saudara Kandung</t>
  </si>
  <si>
    <t>https://home.mycloud.com/action/share/d6df5c99-f8cd-49c2-8c5a-893a22e48ac3</t>
  </si>
  <si>
    <t>1124 1223 019</t>
  </si>
  <si>
    <t>Eko Wiyono</t>
  </si>
  <si>
    <t>Mayasari</t>
  </si>
  <si>
    <t>SMA Negeri 1 Toili</t>
  </si>
  <si>
    <t>7201121601860001</t>
  </si>
  <si>
    <t>0853 9746 7886</t>
  </si>
  <si>
    <t>yonodonggi57@gmail.com</t>
  </si>
  <si>
    <t>Desa Bone Bae, Kelurahan Mantawa Bone Bae</t>
  </si>
  <si>
    <t>7201121803100001</t>
  </si>
  <si>
    <t>22026728281</t>
  </si>
  <si>
    <t>0001151639526</t>
  </si>
  <si>
    <t xml:space="preserve"> 0857 9653 9881</t>
  </si>
  <si>
    <t>Rasmawati</t>
  </si>
  <si>
    <t>https://home.mycloud.com/action/share/429f86cb-b01d-4ee0-aeff-577c98bfeee8</t>
  </si>
  <si>
    <t>1124 1223 020</t>
  </si>
  <si>
    <t>Fajriadi</t>
  </si>
  <si>
    <t>Pandanwangi</t>
  </si>
  <si>
    <t>Otomotif</t>
  </si>
  <si>
    <t>7201122811900001</t>
  </si>
  <si>
    <t>0852 4259 7695</t>
  </si>
  <si>
    <t>fajriabenk08@gmail.com</t>
  </si>
  <si>
    <t>mk.fajriadi@pertamina.com</t>
  </si>
  <si>
    <t>Desa Mansahang, RT 003 / RW 001, Kelurahan Mansahang</t>
  </si>
  <si>
    <t>7201093010150002</t>
  </si>
  <si>
    <t>22026728323</t>
  </si>
  <si>
    <t>0002195057079</t>
  </si>
  <si>
    <t>0858 2355 8493</t>
  </si>
  <si>
    <t>Epy Puspita</t>
  </si>
  <si>
    <t>https://home.mycloud.com/action/share/ba73985f-0eca-4c8d-872b-e8533051771a</t>
  </si>
  <si>
    <t>1124 1223 051</t>
  </si>
  <si>
    <t>Jumalik H. Latungka</t>
  </si>
  <si>
    <t>(SMA Muhammadiyah Luwuk</t>
  </si>
  <si>
    <t>7201011505810002</t>
  </si>
  <si>
    <t>0858 2358 1803</t>
  </si>
  <si>
    <t>jumalikhlatungka@gmail.com</t>
  </si>
  <si>
    <t>Desa Kayowa, RT 002 / RW 002, Kelurahan Kayowa</t>
  </si>
  <si>
    <t>7201012901082352</t>
  </si>
  <si>
    <t>22040703872</t>
  </si>
  <si>
    <t>0001791790659</t>
  </si>
  <si>
    <t>0858 2763 5760</t>
  </si>
  <si>
    <t>Ariati</t>
  </si>
  <si>
    <t>https://home.mycloud.com/action/share/00aa49e7-083a-46c5-89b7-d1e62cada23a</t>
  </si>
  <si>
    <t>1124 1223 021</t>
  </si>
  <si>
    <t>Randianto</t>
  </si>
  <si>
    <t>Agroteknologi</t>
  </si>
  <si>
    <t>7207103070392007</t>
  </si>
  <si>
    <t>0852 5583 2000</t>
  </si>
  <si>
    <t>randyogie92@gmail.com</t>
  </si>
  <si>
    <t>Desa Bakung, RT 007 / RW 003, Kelurahan Bakung</t>
  </si>
  <si>
    <t>7201010810240003</t>
  </si>
  <si>
    <t>22040704003</t>
  </si>
  <si>
    <t>0002942082707</t>
  </si>
  <si>
    <t>0852 9728 1945</t>
  </si>
  <si>
    <t>Cindy Marsela</t>
  </si>
  <si>
    <t>https://home.mycloud.com/action/share/637929eb-5636-428f-b621-8296a88d55ab</t>
  </si>
  <si>
    <t>1124 1223 022</t>
  </si>
  <si>
    <t>Saiful M. Zakar</t>
  </si>
  <si>
    <t>Kayowa</t>
  </si>
  <si>
    <t>Ilmu Administrasi Negara</t>
  </si>
  <si>
    <t>Universitas Muhammadiyah Palu</t>
  </si>
  <si>
    <t>7201012305950001</t>
  </si>
  <si>
    <t>0812 9531 4840</t>
  </si>
  <si>
    <t>saifulzakar@gmail.com</t>
  </si>
  <si>
    <t>Desa Bakung, RT 008 / RW 004, Kelurahan Bakung</t>
  </si>
  <si>
    <t>7201012010230001</t>
  </si>
  <si>
    <t>22016675294</t>
  </si>
  <si>
    <t>0002082665823</t>
  </si>
  <si>
    <t>0815 2380 7004</t>
  </si>
  <si>
    <t>Findy Handayani</t>
  </si>
  <si>
    <t>https://home.mycloud.com/action/share/0b6e2da7-2493-4dd7-97c4-205c512a6638</t>
  </si>
  <si>
    <t>1124 1223 023</t>
  </si>
  <si>
    <t>I Nyoman Suwitra</t>
  </si>
  <si>
    <t>Petugas Gudang BBM</t>
  </si>
  <si>
    <t>7201122512960001</t>
  </si>
  <si>
    <t>0815 2741 3671</t>
  </si>
  <si>
    <t>putualit0507@gmail.com</t>
  </si>
  <si>
    <t>Karya Makmur, RT 001/ RW003, Desa Karya Makmur</t>
  </si>
  <si>
    <t>7201122601180003</t>
  </si>
  <si>
    <t>26058990453</t>
  </si>
  <si>
    <t>0001571508077</t>
  </si>
  <si>
    <t>0858 2888 7691</t>
  </si>
  <si>
    <t>I putu alit arya sentana</t>
  </si>
  <si>
    <t>https://home.mycloud.com/action/share/813e9468-ece6-47f5-bb70-816390074a8f</t>
  </si>
  <si>
    <t>1124 1223 024</t>
  </si>
  <si>
    <t>I Putu Muryanto</t>
  </si>
  <si>
    <t>Adm Operasi Produksi</t>
  </si>
  <si>
    <t>Operation Planning</t>
  </si>
  <si>
    <t>Operation</t>
  </si>
  <si>
    <t>Bali</t>
  </si>
  <si>
    <t>Reza Pahlepy</t>
  </si>
  <si>
    <t>7201121009920002</t>
  </si>
  <si>
    <t>0852 9948 4010</t>
  </si>
  <si>
    <t>iputumuryanto@gmail.com</t>
  </si>
  <si>
    <t>mk.i.muryanto@pertamina.com</t>
  </si>
  <si>
    <t>Desa Kami Wangi, Kelurahan Kami Wangi</t>
  </si>
  <si>
    <t>7201120707080054</t>
  </si>
  <si>
    <t>18007215207</t>
  </si>
  <si>
    <t>0002240227664</t>
  </si>
  <si>
    <t>0812 4562 2100</t>
  </si>
  <si>
    <t>Ni Nyoman Kavina Wili</t>
  </si>
  <si>
    <t>https://home.mycloud.com/action/share/20563b4a-a9b0-401c-b322-f0ac208641df</t>
  </si>
  <si>
    <t>1124 1223 025</t>
  </si>
  <si>
    <t>Siti Aisyah Dg Masese</t>
  </si>
  <si>
    <t>Sekretaris Field Manager</t>
  </si>
  <si>
    <t>Field Manager</t>
  </si>
  <si>
    <t>FM</t>
  </si>
  <si>
    <t>Manajemen</t>
  </si>
  <si>
    <t>Sekolah Tinggi Ilmu Ekonomi Panca Bakti Palu</t>
  </si>
  <si>
    <t>Ridwan Kiay Demak</t>
  </si>
  <si>
    <t>7201015505860003</t>
  </si>
  <si>
    <t>0852 9990 3050</t>
  </si>
  <si>
    <t>aisyahdgmasese@gmail.com</t>
  </si>
  <si>
    <t>mk.siti.masese@pertamina.com</t>
  </si>
  <si>
    <t>Desa Slamet Harjo, RT 002 / RW 005, Kelurahan Slamet Harjo</t>
  </si>
  <si>
    <t>7201141903210002</t>
  </si>
  <si>
    <t>15059238319</t>
  </si>
  <si>
    <t>0001387615713</t>
  </si>
  <si>
    <t>0857 5632 0779</t>
  </si>
  <si>
    <t>Syafyudin</t>
  </si>
  <si>
    <t>https://home.mycloud.com/action/share/524bb894-051f-41c9-ada2-d9f76667c987</t>
  </si>
  <si>
    <t>1124 1223 026</t>
  </si>
  <si>
    <t>Dewi Khoirunnisa</t>
  </si>
  <si>
    <t>Admin Finance</t>
  </si>
  <si>
    <t>Finance</t>
  </si>
  <si>
    <t>Casmita</t>
  </si>
  <si>
    <t>BS045100D</t>
  </si>
  <si>
    <t>7201096001930001</t>
  </si>
  <si>
    <t>0852 2277 7759</t>
  </si>
  <si>
    <t>dkho.nisa@gmail.com</t>
  </si>
  <si>
    <t>mk.dewi.khoirunnisa@pertamina.com</t>
  </si>
  <si>
    <t>Desa Tirta Kencana, RT 001 / RW 001, Kelurahan Tirta Kencana</t>
  </si>
  <si>
    <t>7201091302080599</t>
  </si>
  <si>
    <t>22026728299</t>
  </si>
  <si>
    <t>0001791786464</t>
  </si>
  <si>
    <t>0853 9508 6585</t>
  </si>
  <si>
    <t xml:space="preserve">Sutadji </t>
  </si>
  <si>
    <t>https://home.mycloud.com/action/share/9c600d91-668d-4685-b136-0c16b0d4b667</t>
  </si>
  <si>
    <t>1124 1223 027</t>
  </si>
  <si>
    <t>Eka Nurjannah</t>
  </si>
  <si>
    <t>Petugas Admin III CSR</t>
  </si>
  <si>
    <t>Plan &amp; Eval</t>
  </si>
  <si>
    <t>Slametharjo</t>
  </si>
  <si>
    <t>Kebidanan</t>
  </si>
  <si>
    <t>Akademi Kebidanan Palu</t>
  </si>
  <si>
    <t>Rahardian</t>
  </si>
  <si>
    <t>7201095704930001</t>
  </si>
  <si>
    <t>0813 5606 3646</t>
  </si>
  <si>
    <t>ekaelf85@gmail.com</t>
  </si>
  <si>
    <t>mk.eka.nurjanah@pertamina.com</t>
  </si>
  <si>
    <t>Desa  Mulyo Harjo, RT 002 / RW 003, Kelurahan Mulyo Harjo</t>
  </si>
  <si>
    <t>7201091402080290</t>
  </si>
  <si>
    <t>22026728307</t>
  </si>
  <si>
    <t>0001081373444</t>
  </si>
  <si>
    <t>0823 3163 2298</t>
  </si>
  <si>
    <t xml:space="preserve">Fakar </t>
  </si>
  <si>
    <t>https://home.mycloud.com/action/share/4d1d4a26-557a-4ade-9f0b-182b50db5e4f</t>
  </si>
  <si>
    <t>1124 1223 028</t>
  </si>
  <si>
    <t>Admin SCM</t>
  </si>
  <si>
    <t>7201096702970002</t>
  </si>
  <si>
    <t>findyhandayani08@gmail.com</t>
  </si>
  <si>
    <t>mk.findy.handayani@pertamina.com</t>
  </si>
  <si>
    <t>'20039268303</t>
  </si>
  <si>
    <t>0000172054146</t>
  </si>
  <si>
    <t>Saiful M Zakar</t>
  </si>
  <si>
    <t>https://home.mycloud.com/action/share/c36f7a4a-70ba-45a2-86ba-181336e45a79</t>
  </si>
  <si>
    <t>Jumlah TAD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</si>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</sst>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yyyy"/>
    <numFmt numFmtId="165" formatCode="[$-13809]d\ mmm\ yyyy;@"/>
    <numFmt numFmtId="166" formatCode="0\ &quot;Day(s)&quot;"/>
    <numFmt numFmtId="167" formatCode="yy\ &quot;Years(s)&quot;\,\ mm\ &quot;Month(s)&quot;\,\ dd\ &quot;Day(s)&quot;"/>
    <numFmt numFmtId="168" formatCode="yy\ &quot;Tahun&quot;\,\ mm\ &quot;Bulan&quot;\,\ dd\ &quot;Hari&quot;"/>
    <numFmt numFmtId="169" formatCode="@* &quot;:&quot;"/>
    <numFmt numFmtId="170" formatCode="[$-13809]dd\ mmmm\ yyyy;@"/>
    <numFmt numFmtId="171" formatCode="_-[$Rp-421]* #,##0.00_-;\-[$Rp-421]* #,##0.00_-;_-[$Rp-421]* &quot;-&quot;_-;_-@_-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Berlin Sans FB"/>
      <family val="2"/>
    </font>
    <font>
      <b/>
      <sz val="16"/>
      <color theme="1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43" fontId="7" fillId="0" borderId="0" applyFont="0" applyFill="0" applyBorder="0" applyAlignment="0" applyProtection="0"/>
  </cellStyleXfs>
  <cellXfs count="54">
    <xf numFmtId="0" fontId="0" fillId="0" borderId="0" xfId="0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12" fillId="0" borderId="1" xfId="0" quotePrefix="1" applyNumberFormat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9" fontId="10" fillId="0" borderId="0" xfId="0" applyNumberFormat="1" applyFont="1"/>
    <xf numFmtId="170" fontId="10" fillId="0" borderId="0" xfId="0" applyNumberFormat="1" applyFont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3" fillId="0" borderId="1" xfId="1" applyBorder="1"/>
    <xf numFmtId="0" fontId="3" fillId="0" borderId="0" xfId="1" applyAlignment="1">
      <alignment vertical="center" wrapText="1"/>
    </xf>
    <xf numFmtId="0" fontId="12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1" fontId="10" fillId="7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  <xf numFmtId="0" fontId="1" fillId="0" borderId="1" xfId="0" quotePrefix="1" applyFont="1" applyBorder="1" applyAlignment="1">
      <alignment horizontal="center"/>
    </xf>
    <xf numFmtId="165" fontId="1" fillId="0" borderId="1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7" fontId="1" fillId="8" borderId="1" xfId="0" applyNumberFormat="1" applyFont="1" applyFill="1" applyBorder="1" applyAlignment="1">
      <alignment horizontal="center" vertical="center"/>
    </xf>
    <xf numFmtId="168" fontId="1" fillId="7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6" fontId="1" fillId="7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/>
    </xf>
    <xf numFmtId="0" fontId="1" fillId="5" borderId="1" xfId="0" applyFont="1" applyFill="1" applyBorder="1"/>
    <xf numFmtId="49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center"/>
    </xf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166" fontId="1" fillId="9" borderId="1" xfId="0" applyNumberFormat="1" applyFont="1" applyFill="1" applyBorder="1" applyAlignment="1">
      <alignment horizontal="center"/>
    </xf>
    <xf numFmtId="171" fontId="1" fillId="7" borderId="1" xfId="0" applyNumberFormat="1" applyFont="1" applyFill="1" applyBorder="1"/>
    <xf numFmtId="0" fontId="1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</cellXfs>
  <cellStyles count="4">
    <cellStyle name="Comma 2" xfId="3" xr:uid="{C210CF4E-5C1B-4EC7-889F-4B08D5B39C85}"/>
    <cellStyle name="Hyperlink" xfId="1" builtinId="8"/>
    <cellStyle name="Normal" xfId="0" builtinId="0"/>
    <cellStyle name="Normal 10" xfId="2" xr:uid="{A51EB0F2-3634-4DE7-9FEC-DE23EE66D2C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ome.mycloud.com/action/share/ef00fb7e-ed34-40e9-bd03-ef9aad0320b2" TargetMode="External"/><Relationship Id="rId21" Type="http://schemas.openxmlformats.org/officeDocument/2006/relationships/hyperlink" Target="mailto:mk.i.muryanto@pertamina.com" TargetMode="External"/><Relationship Id="rId42" Type="http://schemas.openxmlformats.org/officeDocument/2006/relationships/hyperlink" Target="https://home.mycloud.com/action/share/cc02de4c-061a-40f4-ac6b-bf16bfa57bbd" TargetMode="External"/><Relationship Id="rId47" Type="http://schemas.openxmlformats.org/officeDocument/2006/relationships/hyperlink" Target="https://home.mycloud.com/action/share/84d382e4-0b15-4af4-9171-fd6de7a9c99d" TargetMode="External"/><Relationship Id="rId63" Type="http://schemas.openxmlformats.org/officeDocument/2006/relationships/hyperlink" Target="https://home.mycloud.com/action/share/35ad1109-ba9e-456b-9291-e54956bd7ab5" TargetMode="External"/><Relationship Id="rId68" Type="http://schemas.openxmlformats.org/officeDocument/2006/relationships/hyperlink" Target="https://home.mycloud.com/action/share/637929eb-5636-428f-b621-8296a88d55ab" TargetMode="External"/><Relationship Id="rId16" Type="http://schemas.openxmlformats.org/officeDocument/2006/relationships/hyperlink" Target="mailto:mk.komang.santika@pertamina.com" TargetMode="External"/><Relationship Id="rId11" Type="http://schemas.openxmlformats.org/officeDocument/2006/relationships/hyperlink" Target="mailto:mk.marjan.karim@pertamina.com" TargetMode="External"/><Relationship Id="rId24" Type="http://schemas.openxmlformats.org/officeDocument/2006/relationships/hyperlink" Target="https://home.mycloud.com/action/share/17a4b128-48b1-4936-9db8-eee64d4e8118" TargetMode="External"/><Relationship Id="rId32" Type="http://schemas.openxmlformats.org/officeDocument/2006/relationships/hyperlink" Target="https://home.mycloud.com/action/share/ab03f3b5-f76e-4188-aa89-8415ee0bae4b" TargetMode="External"/><Relationship Id="rId37" Type="http://schemas.openxmlformats.org/officeDocument/2006/relationships/hyperlink" Target="https://home.mycloud.com/action/share/d0670d92-520a-4607-af1c-bcc245381d50" TargetMode="External"/><Relationship Id="rId40" Type="http://schemas.openxmlformats.org/officeDocument/2006/relationships/hyperlink" Target="https://home.mycloud.com/action/share/46d4afc1-f35a-4ae8-bd87-70463a3e1e19" TargetMode="External"/><Relationship Id="rId45" Type="http://schemas.openxmlformats.org/officeDocument/2006/relationships/hyperlink" Target="https://home.mycloud.com/action/share/b2d39736-6335-4f07-8752-7d2776e9e451" TargetMode="External"/><Relationship Id="rId53" Type="http://schemas.openxmlformats.org/officeDocument/2006/relationships/hyperlink" Target="https://home.mycloud.com/action/share/2e7d6e66-066c-41cf-ab2f-365d34c7e04a" TargetMode="External"/><Relationship Id="rId58" Type="http://schemas.openxmlformats.org/officeDocument/2006/relationships/hyperlink" Target="https://home.mycloud.com/action/share/7b14cd8d-7c58-424f-9ca3-34c34338509c" TargetMode="External"/><Relationship Id="rId66" Type="http://schemas.openxmlformats.org/officeDocument/2006/relationships/hyperlink" Target="https://home.mycloud.com/action/share/ba73985f-0eca-4c8d-872b-e8533051771a" TargetMode="External"/><Relationship Id="rId74" Type="http://schemas.openxmlformats.org/officeDocument/2006/relationships/hyperlink" Target="https://home.mycloud.com/action/share/4d1d4a26-557a-4ade-9f0b-182b50db5e4f" TargetMode="External"/><Relationship Id="rId5" Type="http://schemas.openxmlformats.org/officeDocument/2006/relationships/hyperlink" Target="mailto:mk.sunita.ayu@pertamina.com" TargetMode="External"/><Relationship Id="rId61" Type="http://schemas.openxmlformats.org/officeDocument/2006/relationships/hyperlink" Target="https://home.mycloud.com/action/share/d3f3bd36-cc16-4ad9-a5eb-05fc3f942a4b" TargetMode="External"/><Relationship Id="rId19" Type="http://schemas.openxmlformats.org/officeDocument/2006/relationships/hyperlink" Target="mailto:mk.irpan.parenden@pertamina.com" TargetMode="External"/><Relationship Id="rId14" Type="http://schemas.openxmlformats.org/officeDocument/2006/relationships/hyperlink" Target="mailto:mk.wayan.jaya@pertamina.com" TargetMode="External"/><Relationship Id="rId22" Type="http://schemas.openxmlformats.org/officeDocument/2006/relationships/hyperlink" Target="mailto:mk.arianto.yahya@pertamina.com" TargetMode="External"/><Relationship Id="rId27" Type="http://schemas.openxmlformats.org/officeDocument/2006/relationships/hyperlink" Target="https://home.mycloud.com/action/share/3c1744fe-e732-4911-8065-d774829d91c9" TargetMode="External"/><Relationship Id="rId30" Type="http://schemas.openxmlformats.org/officeDocument/2006/relationships/hyperlink" Target="https://home.mycloud.com/action/share/f002d3ca-9c77-4cc0-8a93-d145107884c7" TargetMode="External"/><Relationship Id="rId35" Type="http://schemas.openxmlformats.org/officeDocument/2006/relationships/hyperlink" Target="https://home.mycloud.com/action/share/d33b1bf3-c6c4-4f62-b9f5-db75d6e004d2" TargetMode="External"/><Relationship Id="rId43" Type="http://schemas.openxmlformats.org/officeDocument/2006/relationships/hyperlink" Target="https://home.mycloud.com/action/share/56be8a37-9a9c-4119-a8ea-9e85fa314748" TargetMode="External"/><Relationship Id="rId48" Type="http://schemas.openxmlformats.org/officeDocument/2006/relationships/hyperlink" Target="https://home.mycloud.com/action/share/93c9ca29-70c3-443c-b5d9-16c62e16d4d7" TargetMode="External"/><Relationship Id="rId56" Type="http://schemas.openxmlformats.org/officeDocument/2006/relationships/hyperlink" Target="https://home.mycloud.com/action/share/c3b55148-6a97-4729-aa13-d69ca881f0b7" TargetMode="External"/><Relationship Id="rId64" Type="http://schemas.openxmlformats.org/officeDocument/2006/relationships/hyperlink" Target="https://home.mycloud.com/action/share/d6df5c99-f8cd-49c2-8c5a-893a22e48ac3" TargetMode="External"/><Relationship Id="rId69" Type="http://schemas.openxmlformats.org/officeDocument/2006/relationships/hyperlink" Target="https://home.mycloud.com/action/share/0b6e2da7-2493-4dd7-97c4-205c512a6638" TargetMode="External"/><Relationship Id="rId77" Type="http://schemas.openxmlformats.org/officeDocument/2006/relationships/comments" Target="../comments1.xml"/><Relationship Id="rId8" Type="http://schemas.openxmlformats.org/officeDocument/2006/relationships/hyperlink" Target="mailto:mk.dewi.m@pertamina.com" TargetMode="External"/><Relationship Id="rId51" Type="http://schemas.openxmlformats.org/officeDocument/2006/relationships/hyperlink" Target="https://home.mycloud.com/action/share/18ba1cd1-e34f-4e7b-8eca-5f47518ced24" TargetMode="External"/><Relationship Id="rId72" Type="http://schemas.openxmlformats.org/officeDocument/2006/relationships/hyperlink" Target="https://home.mycloud.com/action/share/524bb894-051f-41c9-ada2-d9f76667c987" TargetMode="External"/><Relationship Id="rId3" Type="http://schemas.openxmlformats.org/officeDocument/2006/relationships/hyperlink" Target="mailto:mk.akmal01@pertamina.com" TargetMode="External"/><Relationship Id="rId12" Type="http://schemas.openxmlformats.org/officeDocument/2006/relationships/hyperlink" Target="mailto:mk.awal.sekti@pertamina.com" TargetMode="External"/><Relationship Id="rId17" Type="http://schemas.openxmlformats.org/officeDocument/2006/relationships/hyperlink" Target="mailto:mk.eka.nurjanah@pertamina.com" TargetMode="External"/><Relationship Id="rId25" Type="http://schemas.openxmlformats.org/officeDocument/2006/relationships/hyperlink" Target="https://home.mycloud.com/action/share/00762b37-1808-4899-b707-7bd0411a88a2" TargetMode="External"/><Relationship Id="rId33" Type="http://schemas.openxmlformats.org/officeDocument/2006/relationships/hyperlink" Target="https://home.mycloud.com/action/share/ee14cdf1-a38a-4a65-abaf-5f336b608c54" TargetMode="External"/><Relationship Id="rId38" Type="http://schemas.openxmlformats.org/officeDocument/2006/relationships/hyperlink" Target="https://home.mycloud.com/action/share/e9c9281d-36c5-478a-a591-1e047a1cf0be" TargetMode="External"/><Relationship Id="rId46" Type="http://schemas.openxmlformats.org/officeDocument/2006/relationships/hyperlink" Target="https://home.mycloud.com/action/share/e3e5eb2c-6f74-4308-a349-d9fa8c927565" TargetMode="External"/><Relationship Id="rId59" Type="http://schemas.openxmlformats.org/officeDocument/2006/relationships/hyperlink" Target="https://home.mycloud.com/action/share/f879286f-6bbd-4f63-82d6-24e88cda9b16" TargetMode="External"/><Relationship Id="rId67" Type="http://schemas.openxmlformats.org/officeDocument/2006/relationships/hyperlink" Target="https://home.mycloud.com/action/share/00aa49e7-083a-46c5-89b7-d1e62cada23a" TargetMode="External"/><Relationship Id="rId20" Type="http://schemas.openxmlformats.org/officeDocument/2006/relationships/hyperlink" Target="mailto:mk.alfikwan.marida@pertamina.com" TargetMode="External"/><Relationship Id="rId41" Type="http://schemas.openxmlformats.org/officeDocument/2006/relationships/hyperlink" Target="https://home.mycloud.com/action/share/1108ed5d-c833-429b-867f-df9b91348e84" TargetMode="External"/><Relationship Id="rId54" Type="http://schemas.openxmlformats.org/officeDocument/2006/relationships/hyperlink" Target="https://home.mycloud.com/action/share/66a2ac4a-ad08-4237-ac3d-67326198b2c4" TargetMode="External"/><Relationship Id="rId62" Type="http://schemas.openxmlformats.org/officeDocument/2006/relationships/hyperlink" Target="https://home.mycloud.com/action/share/982fd31b-a42d-4c88-b83f-50891d928bb0" TargetMode="External"/><Relationship Id="rId70" Type="http://schemas.openxmlformats.org/officeDocument/2006/relationships/hyperlink" Target="https://home.mycloud.com/action/share/813e9468-ece6-47f5-bb70-816390074a8f" TargetMode="External"/><Relationship Id="rId75" Type="http://schemas.openxmlformats.org/officeDocument/2006/relationships/hyperlink" Target="https://home.mycloud.com/action/share/c36f7a4a-70ba-45a2-86ba-181336e45a79" TargetMode="External"/><Relationship Id="rId1" Type="http://schemas.openxmlformats.org/officeDocument/2006/relationships/hyperlink" Target="mailto:mk.marini.astary@pertamina.com" TargetMode="External"/><Relationship Id="rId6" Type="http://schemas.openxmlformats.org/officeDocument/2006/relationships/hyperlink" Target="mailto:mk.gusti.baliarta@pertamina.com" TargetMode="External"/><Relationship Id="rId15" Type="http://schemas.openxmlformats.org/officeDocument/2006/relationships/hyperlink" Target="mailto:mk.ansar.mansur@pertamina.com" TargetMode="External"/><Relationship Id="rId23" Type="http://schemas.openxmlformats.org/officeDocument/2006/relationships/hyperlink" Target="mailto:deniandrianto68@gmail.com" TargetMode="External"/><Relationship Id="rId28" Type="http://schemas.openxmlformats.org/officeDocument/2006/relationships/hyperlink" Target="https://home.mycloud.com/action/share/1fa4d81f-e70b-4cf6-b1a4-0b92765910cd" TargetMode="External"/><Relationship Id="rId36" Type="http://schemas.openxmlformats.org/officeDocument/2006/relationships/hyperlink" Target="https://home.mycloud.com/action/share/c5a52de3-8148-4629-89a9-c6e07805fce7" TargetMode="External"/><Relationship Id="rId49" Type="http://schemas.openxmlformats.org/officeDocument/2006/relationships/hyperlink" Target="https://home.mycloud.com/action/share/a043114c-53c6-4c87-9f0c-e9c952bc4cf7" TargetMode="External"/><Relationship Id="rId57" Type="http://schemas.openxmlformats.org/officeDocument/2006/relationships/hyperlink" Target="https://home.mycloud.com/action/share/e5e5440d-82f6-47a5-b7e4-c7f07857bbfd" TargetMode="External"/><Relationship Id="rId10" Type="http://schemas.openxmlformats.org/officeDocument/2006/relationships/hyperlink" Target="mailto:mk.fajriadi@pertamina.com" TargetMode="External"/><Relationship Id="rId31" Type="http://schemas.openxmlformats.org/officeDocument/2006/relationships/hyperlink" Target="https://home.mycloud.com/action/share/8a3a47ff-51f2-4098-9aeb-0ba8758222ed" TargetMode="External"/><Relationship Id="rId44" Type="http://schemas.openxmlformats.org/officeDocument/2006/relationships/hyperlink" Target="https://home.mycloud.com/action/share/87a73ebf-1e89-42bb-ae6f-f10f61dc40cd" TargetMode="External"/><Relationship Id="rId52" Type="http://schemas.openxmlformats.org/officeDocument/2006/relationships/hyperlink" Target="https://home.mycloud.com/action/share/ff210420-74cc-4e46-af5e-3a9d9c077854" TargetMode="External"/><Relationship Id="rId60" Type="http://schemas.openxmlformats.org/officeDocument/2006/relationships/hyperlink" Target="https://home.mycloud.com/action/share/9eb39f59-abe3-4e1a-b2f1-0b9083115bf0" TargetMode="External"/><Relationship Id="rId65" Type="http://schemas.openxmlformats.org/officeDocument/2006/relationships/hyperlink" Target="https://home.mycloud.com/action/share/429f86cb-b01d-4ee0-aeff-577c98bfeee8" TargetMode="External"/><Relationship Id="rId73" Type="http://schemas.openxmlformats.org/officeDocument/2006/relationships/hyperlink" Target="https://home.mycloud.com/action/share/9c600d91-668d-4685-b136-0c16b0d4b667" TargetMode="External"/><Relationship Id="rId4" Type="http://schemas.openxmlformats.org/officeDocument/2006/relationships/hyperlink" Target="mailto:mk.findy.handayani@pertamina.com" TargetMode="External"/><Relationship Id="rId9" Type="http://schemas.openxmlformats.org/officeDocument/2006/relationships/hyperlink" Target="mailto:mk.thamar.mbau@pertamina.com" TargetMode="External"/><Relationship Id="rId13" Type="http://schemas.openxmlformats.org/officeDocument/2006/relationships/hyperlink" Target="mailto:mk.siti.masese@pertamina.com" TargetMode="External"/><Relationship Id="rId18" Type="http://schemas.openxmlformats.org/officeDocument/2006/relationships/hyperlink" Target="mailto:mk.nengah.artika@pertamina.com" TargetMode="External"/><Relationship Id="rId39" Type="http://schemas.openxmlformats.org/officeDocument/2006/relationships/hyperlink" Target="https://home.mycloud.com/action/share/0d0ce91e-b2b9-40e2-9ed2-c2e3b20159d6" TargetMode="External"/><Relationship Id="rId34" Type="http://schemas.openxmlformats.org/officeDocument/2006/relationships/hyperlink" Target="https://home.mycloud.com/action/share/9bb3d45e-ce93-4888-b6c2-b9d1174aeced" TargetMode="External"/><Relationship Id="rId50" Type="http://schemas.openxmlformats.org/officeDocument/2006/relationships/hyperlink" Target="https://home.mycloud.com/action/share/c63e85b6-1fab-4391-b93a-f72b136588fb" TargetMode="External"/><Relationship Id="rId55" Type="http://schemas.openxmlformats.org/officeDocument/2006/relationships/hyperlink" Target="https://home.mycloud.com/action/share/b7689e62-ad24-49ea-b7fd-8b15cdaaa317" TargetMode="External"/><Relationship Id="rId76" Type="http://schemas.openxmlformats.org/officeDocument/2006/relationships/vmlDrawing" Target="../drawings/vmlDrawing1.vml"/><Relationship Id="rId7" Type="http://schemas.openxmlformats.org/officeDocument/2006/relationships/hyperlink" Target="mailto:mk.dewi.khoirunnisa@pertamina.com" TargetMode="External"/><Relationship Id="rId71" Type="http://schemas.openxmlformats.org/officeDocument/2006/relationships/hyperlink" Target="https://home.mycloud.com/action/share/20563b4a-a9b0-401c-b322-f0ac208641df" TargetMode="External"/><Relationship Id="rId2" Type="http://schemas.openxmlformats.org/officeDocument/2006/relationships/hyperlink" Target="mailto:mk.subandi3@pertamina.com" TargetMode="External"/><Relationship Id="rId29" Type="http://schemas.openxmlformats.org/officeDocument/2006/relationships/hyperlink" Target="https://home.mycloud.com/action/share/5e343932-8812-4b7d-b879-3b3927efa1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82A2-3DDB-4E38-B511-C93A67A57491}">
  <sheetPr codeName="Sheet5"/>
  <dimension ref="A1:BU61"/>
  <sheetViews>
    <sheetView tabSelected="1" zoomScale="94" zoomScaleNormal="94" workbookViewId="0">
      <pane xSplit="7" ySplit="6" topLeftCell="AB7" activePane="bottomRight" state="frozen"/>
      <selection pane="topRight" activeCell="H1" sqref="H1"/>
      <selection pane="bottomLeft" activeCell="A7" sqref="A7"/>
      <selection pane="bottomRight" activeCell="AD7" sqref="AD7:AD59"/>
    </sheetView>
  </sheetViews>
  <sheetFormatPr defaultColWidth="9.1328125" defaultRowHeight="12.75" outlineLevelRow="1" outlineLevelCol="1" x14ac:dyDescent="0.35"/>
  <cols>
    <col min="1" max="1" width="7.73046875" style="3" customWidth="1"/>
    <col min="2" max="2" width="10.1328125" style="2" hidden="1" customWidth="1" outlineLevel="1"/>
    <col min="3" max="3" width="13.86328125" style="2" hidden="1" customWidth="1" outlineLevel="1"/>
    <col min="4" max="4" width="16.73046875" style="3" hidden="1" customWidth="1" outlineLevel="1"/>
    <col min="5" max="5" width="16.73046875" style="2" hidden="1" customWidth="1" outlineLevel="1"/>
    <col min="6" max="6" width="26.1328125" style="2" bestFit="1" customWidth="1" collapsed="1"/>
    <col min="7" max="7" width="26" style="2" customWidth="1"/>
    <col min="8" max="8" width="16.1328125" style="2" customWidth="1" outlineLevel="1"/>
    <col min="9" max="9" width="17.86328125" style="2" customWidth="1" outlineLevel="1"/>
    <col min="10" max="10" width="9.86328125" style="2" customWidth="1"/>
    <col min="11" max="11" width="12.73046875" style="3" customWidth="1" outlineLevel="1"/>
    <col min="12" max="12" width="19" style="2" customWidth="1" outlineLevel="1"/>
    <col min="13" max="13" width="31.1328125" style="2" customWidth="1" outlineLevel="1"/>
    <col min="14" max="14" width="10.265625" style="2" customWidth="1"/>
    <col min="15" max="15" width="17.86328125" style="2" customWidth="1" outlineLevel="1" collapsed="1"/>
    <col min="16" max="16" width="17.265625" style="3" customWidth="1" outlineLevel="1"/>
    <col min="17" max="17" width="12.3984375" style="2" customWidth="1" outlineLevel="1" collapsed="1"/>
    <col min="18" max="18" width="4.86328125" style="2" customWidth="1"/>
    <col min="19" max="19" width="24.3984375" style="2" customWidth="1" outlineLevel="1"/>
    <col min="20" max="20" width="25.73046875" style="2" customWidth="1"/>
    <col min="21" max="21" width="13.3984375" style="2" customWidth="1" outlineLevel="1"/>
    <col min="22" max="22" width="10.73046875" style="3" customWidth="1" outlineLevel="1"/>
    <col min="23" max="23" width="16" style="2" customWidth="1" outlineLevel="1"/>
    <col min="24" max="24" width="10" style="2" customWidth="1" outlineLevel="1"/>
    <col min="25" max="25" width="9" style="2" customWidth="1"/>
    <col min="26" max="26" width="18.1328125" style="2" customWidth="1" outlineLevel="1"/>
    <col min="27" max="27" width="38.3984375" style="2" customWidth="1" outlineLevel="1"/>
    <col min="28" max="28" width="46.86328125" style="2" customWidth="1" outlineLevel="1"/>
    <col min="29" max="29" width="6.3984375" style="3" customWidth="1" outlineLevel="1"/>
    <col min="30" max="30" width="18.86328125" style="3" customWidth="1" outlineLevel="1"/>
    <col min="31" max="31" width="14.1328125" style="2" customWidth="1" outlineLevel="1" collapsed="1"/>
    <col min="32" max="32" width="19.3984375" style="2" customWidth="1" outlineLevel="1"/>
    <col min="33" max="33" width="13" style="2" customWidth="1" outlineLevel="1"/>
    <col min="34" max="34" width="16" style="2" customWidth="1" outlineLevel="1" collapsed="1"/>
    <col min="35" max="35" width="12.73046875" style="2" customWidth="1" outlineLevel="1" collapsed="1"/>
    <col min="36" max="36" width="12.73046875" style="2" customWidth="1"/>
    <col min="37" max="37" width="13.3984375" style="2" customWidth="1"/>
    <col min="38" max="38" width="13.265625" style="3" customWidth="1" outlineLevel="1"/>
    <col min="39" max="39" width="10.3984375" style="2" customWidth="1" outlineLevel="1"/>
    <col min="40" max="40" width="9.86328125" style="2" customWidth="1" outlineLevel="1"/>
    <col min="41" max="41" width="34.265625" style="2" customWidth="1" outlineLevel="1"/>
    <col min="42" max="42" width="22.265625" style="2" customWidth="1" outlineLevel="1"/>
    <col min="43" max="43" width="13.3984375" style="2" customWidth="1" outlineLevel="1"/>
    <col min="44" max="44" width="14.265625" style="2" customWidth="1" outlineLevel="1"/>
    <col min="45" max="45" width="12" style="2" customWidth="1" outlineLevel="1"/>
    <col min="46" max="46" width="19.73046875" style="2" customWidth="1" outlineLevel="1"/>
    <col min="47" max="47" width="17.265625" style="3" customWidth="1" outlineLevel="1"/>
    <col min="48" max="48" width="16" style="2" customWidth="1" outlineLevel="1" collapsed="1"/>
    <col min="49" max="49" width="7.3984375" style="2" customWidth="1"/>
    <col min="50" max="50" width="11.3984375" style="2" customWidth="1"/>
    <col min="51" max="51" width="7.1328125" style="2" customWidth="1" outlineLevel="1"/>
    <col min="52" max="52" width="15.73046875" style="2" customWidth="1"/>
    <col min="53" max="53" width="33" style="2" customWidth="1" outlineLevel="1"/>
    <col min="54" max="54" width="35.86328125" style="2" customWidth="1" outlineLevel="1" collapsed="1"/>
    <col min="55" max="55" width="57.86328125" style="2" customWidth="1" outlineLevel="1"/>
    <col min="56" max="56" width="13.73046875" style="2" customWidth="1" outlineLevel="1"/>
    <col min="57" max="57" width="8.1328125" style="2" customWidth="1" outlineLevel="1"/>
    <col min="58" max="58" width="15.86328125" style="2" customWidth="1" outlineLevel="1"/>
    <col min="59" max="59" width="9.265625" style="2" customWidth="1" outlineLevel="1"/>
    <col min="60" max="60" width="17" style="2" customWidth="1" outlineLevel="1"/>
    <col min="61" max="61" width="17" style="3" customWidth="1" outlineLevel="1"/>
    <col min="62" max="62" width="15.1328125" style="3" customWidth="1" outlineLevel="1"/>
    <col min="63" max="63" width="12.86328125" style="3" customWidth="1" outlineLevel="1"/>
    <col min="64" max="64" width="17" style="2" customWidth="1" outlineLevel="1" collapsed="1"/>
    <col min="65" max="65" width="22.3984375" style="2" customWidth="1" outlineLevel="1"/>
    <col min="66" max="66" width="15.3984375" style="2" customWidth="1" outlineLevel="1"/>
    <col min="67" max="67" width="15" style="2" customWidth="1"/>
    <col min="68" max="68" width="13.3984375" style="2" customWidth="1"/>
    <col min="69" max="70" width="9.73046875" style="2" customWidth="1" outlineLevel="1"/>
    <col min="71" max="71" width="6" style="3" customWidth="1"/>
    <col min="72" max="72" width="18.86328125" style="3" customWidth="1"/>
    <col min="73" max="16384" width="9.1328125" style="3"/>
  </cols>
  <sheetData>
    <row r="1" spans="1:73" ht="20.65" x14ac:dyDescent="0.6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2"/>
      <c r="BR1" s="52"/>
      <c r="BS1" s="44"/>
      <c r="BT1" s="44"/>
      <c r="BU1" s="44"/>
    </row>
    <row r="3" spans="1:73" ht="13.15" x14ac:dyDescent="0.4">
      <c r="A3" s="17" t="s">
        <v>1</v>
      </c>
      <c r="B3" s="52"/>
      <c r="C3" s="52"/>
      <c r="D3" s="44"/>
      <c r="E3" s="52"/>
      <c r="F3" s="18">
        <f ca="1">TODAY()</f>
        <v>46239</v>
      </c>
      <c r="G3" s="52"/>
      <c r="H3" s="52"/>
      <c r="I3" s="52"/>
      <c r="J3" s="52"/>
      <c r="K3" s="44"/>
      <c r="L3" s="52"/>
      <c r="M3" s="52"/>
      <c r="N3" s="52"/>
      <c r="O3" s="52"/>
      <c r="P3" s="44"/>
      <c r="Q3" s="52"/>
      <c r="R3" s="52"/>
      <c r="S3" s="52"/>
      <c r="T3" s="52" t="s">
        <v>2</v>
      </c>
      <c r="U3" s="52"/>
      <c r="V3" s="44"/>
      <c r="W3" s="52"/>
      <c r="X3" s="52"/>
      <c r="Y3" s="52">
        <f>COUNTIF(Y7:Y58,"Shift")</f>
        <v>36</v>
      </c>
      <c r="Z3" s="52"/>
      <c r="AA3" s="52"/>
      <c r="AB3" s="52"/>
      <c r="AC3" s="44"/>
      <c r="AD3" s="44"/>
      <c r="AE3" s="52"/>
      <c r="AF3" s="52"/>
      <c r="AG3" s="52"/>
      <c r="AH3" s="52"/>
      <c r="AI3" s="52"/>
      <c r="AJ3" s="52"/>
      <c r="AK3" s="52"/>
      <c r="AL3" s="44"/>
      <c r="AM3" s="52"/>
      <c r="AN3" s="52"/>
      <c r="AO3" s="52"/>
      <c r="AP3" s="52"/>
      <c r="AQ3" s="52"/>
      <c r="AR3" s="52"/>
      <c r="AS3" s="52"/>
      <c r="AT3" s="52"/>
      <c r="AU3" s="44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44"/>
      <c r="BJ3" s="44"/>
      <c r="BK3" s="44"/>
      <c r="BL3" s="52"/>
      <c r="BM3" s="52"/>
      <c r="BN3" s="52"/>
      <c r="BO3" s="52"/>
      <c r="BP3" s="52"/>
      <c r="BQ3" s="52"/>
      <c r="BR3" s="52"/>
      <c r="BS3" s="44"/>
      <c r="BT3" s="44"/>
      <c r="BU3" s="44"/>
    </row>
    <row r="4" spans="1:73" ht="13.15" x14ac:dyDescent="0.4">
      <c r="A4" s="17" t="s">
        <v>3</v>
      </c>
      <c r="B4" s="52"/>
      <c r="C4" s="52"/>
      <c r="D4" s="44"/>
      <c r="E4" s="52"/>
      <c r="F4" s="18">
        <v>46107</v>
      </c>
      <c r="G4" s="52"/>
      <c r="H4" s="52"/>
      <c r="I4" s="52"/>
      <c r="J4" s="52"/>
      <c r="K4" s="44"/>
      <c r="L4" s="52"/>
      <c r="M4" s="52"/>
      <c r="N4" s="52"/>
      <c r="O4" s="52"/>
      <c r="P4" s="44"/>
      <c r="Q4" s="52"/>
      <c r="R4" s="52"/>
      <c r="S4" s="52"/>
      <c r="T4" s="52" t="s">
        <v>4</v>
      </c>
      <c r="U4" s="52"/>
      <c r="V4" s="44"/>
      <c r="W4" s="52"/>
      <c r="X4" s="52"/>
      <c r="Y4" s="52">
        <f>COUNTIF(Y7:Y58,"Non Shift")</f>
        <v>16</v>
      </c>
      <c r="Z4" s="52"/>
      <c r="AA4" s="52"/>
      <c r="AB4" s="52"/>
      <c r="AC4" s="44"/>
      <c r="AD4" s="44"/>
      <c r="AE4" s="52"/>
      <c r="AF4" s="52"/>
      <c r="AG4" s="52"/>
      <c r="AH4" s="52"/>
      <c r="AI4" s="52"/>
      <c r="AJ4" s="52"/>
      <c r="AK4" s="52"/>
      <c r="AL4" s="44"/>
      <c r="AM4" s="52"/>
      <c r="AN4" s="52"/>
      <c r="AO4" s="52"/>
      <c r="AP4" s="52"/>
      <c r="AQ4" s="52"/>
      <c r="AR4" s="52"/>
      <c r="AS4" s="52"/>
      <c r="AT4" s="52"/>
      <c r="AU4" s="44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44"/>
      <c r="BJ4" s="44"/>
      <c r="BK4" s="44"/>
      <c r="BL4" s="52"/>
      <c r="BM4" s="52"/>
      <c r="BN4" s="52"/>
      <c r="BO4" s="52"/>
      <c r="BP4" s="52"/>
      <c r="BQ4" s="52"/>
      <c r="BR4" s="52"/>
      <c r="BS4" s="44"/>
      <c r="BT4" s="44"/>
      <c r="BU4" s="44"/>
    </row>
    <row r="5" spans="1:73" s="2" customFormat="1" outlineLevel="1" x14ac:dyDescent="0.35">
      <c r="A5" s="48">
        <v>1</v>
      </c>
      <c r="B5" s="48">
        <f>COUNTBLANK(B7:B58)</f>
        <v>0</v>
      </c>
      <c r="C5" s="48">
        <f t="shared" ref="C5:E5" si="0">COUNTBLANK(C7:C58)</f>
        <v>0</v>
      </c>
      <c r="D5" s="48">
        <f t="shared" si="0"/>
        <v>0</v>
      </c>
      <c r="E5" s="48">
        <f t="shared" si="0"/>
        <v>3</v>
      </c>
      <c r="F5" s="48">
        <v>2</v>
      </c>
      <c r="G5" s="48">
        <v>3</v>
      </c>
      <c r="H5" s="48">
        <v>4</v>
      </c>
      <c r="I5" s="48">
        <f>H5+1</f>
        <v>5</v>
      </c>
      <c r="J5" s="48">
        <f t="shared" ref="J5:BT5" si="1">I5+1</f>
        <v>6</v>
      </c>
      <c r="K5" s="48">
        <f t="shared" si="1"/>
        <v>7</v>
      </c>
      <c r="L5" s="48">
        <f t="shared" si="1"/>
        <v>8</v>
      </c>
      <c r="M5" s="48">
        <f t="shared" si="1"/>
        <v>9</v>
      </c>
      <c r="N5" s="48">
        <f t="shared" si="1"/>
        <v>10</v>
      </c>
      <c r="O5" s="48">
        <f t="shared" si="1"/>
        <v>11</v>
      </c>
      <c r="P5" s="48">
        <f t="shared" si="1"/>
        <v>12</v>
      </c>
      <c r="Q5" s="48">
        <f t="shared" si="1"/>
        <v>13</v>
      </c>
      <c r="R5" s="48">
        <f t="shared" si="1"/>
        <v>14</v>
      </c>
      <c r="S5" s="48">
        <f t="shared" si="1"/>
        <v>15</v>
      </c>
      <c r="T5" s="48">
        <f t="shared" si="1"/>
        <v>16</v>
      </c>
      <c r="U5" s="48">
        <f t="shared" si="1"/>
        <v>17</v>
      </c>
      <c r="V5" s="48">
        <f t="shared" si="1"/>
        <v>18</v>
      </c>
      <c r="W5" s="48">
        <f t="shared" si="1"/>
        <v>19</v>
      </c>
      <c r="X5" s="48">
        <f t="shared" si="1"/>
        <v>20</v>
      </c>
      <c r="Y5" s="48">
        <f t="shared" si="1"/>
        <v>21</v>
      </c>
      <c r="Z5" s="48">
        <f t="shared" si="1"/>
        <v>22</v>
      </c>
      <c r="AA5" s="48">
        <f t="shared" si="1"/>
        <v>23</v>
      </c>
      <c r="AB5" s="48">
        <f t="shared" si="1"/>
        <v>24</v>
      </c>
      <c r="AC5" s="48">
        <f t="shared" si="1"/>
        <v>25</v>
      </c>
      <c r="AD5" s="48">
        <f t="shared" si="1"/>
        <v>26</v>
      </c>
      <c r="AE5" s="48">
        <f t="shared" si="1"/>
        <v>27</v>
      </c>
      <c r="AF5" s="48">
        <f t="shared" si="1"/>
        <v>28</v>
      </c>
      <c r="AG5" s="48">
        <f t="shared" si="1"/>
        <v>29</v>
      </c>
      <c r="AH5" s="48">
        <f t="shared" si="1"/>
        <v>30</v>
      </c>
      <c r="AI5" s="48">
        <f t="shared" si="1"/>
        <v>31</v>
      </c>
      <c r="AJ5" s="48">
        <f t="shared" si="1"/>
        <v>32</v>
      </c>
      <c r="AK5" s="48">
        <f t="shared" si="1"/>
        <v>33</v>
      </c>
      <c r="AL5" s="48">
        <f t="shared" si="1"/>
        <v>34</v>
      </c>
      <c r="AM5" s="48">
        <f t="shared" si="1"/>
        <v>35</v>
      </c>
      <c r="AN5" s="48">
        <f t="shared" si="1"/>
        <v>36</v>
      </c>
      <c r="AO5" s="48">
        <f t="shared" si="1"/>
        <v>37</v>
      </c>
      <c r="AP5" s="48">
        <f t="shared" si="1"/>
        <v>38</v>
      </c>
      <c r="AQ5" s="48">
        <f t="shared" si="1"/>
        <v>39</v>
      </c>
      <c r="AR5" s="48">
        <f t="shared" si="1"/>
        <v>40</v>
      </c>
      <c r="AS5" s="48">
        <f t="shared" si="1"/>
        <v>41</v>
      </c>
      <c r="AT5" s="48">
        <f t="shared" si="1"/>
        <v>42</v>
      </c>
      <c r="AU5" s="48">
        <f t="shared" si="1"/>
        <v>43</v>
      </c>
      <c r="AV5" s="48">
        <f t="shared" si="1"/>
        <v>44</v>
      </c>
      <c r="AW5" s="48">
        <f t="shared" si="1"/>
        <v>45</v>
      </c>
      <c r="AX5" s="48">
        <f t="shared" si="1"/>
        <v>46</v>
      </c>
      <c r="AY5" s="48">
        <f t="shared" si="1"/>
        <v>47</v>
      </c>
      <c r="AZ5" s="48">
        <f t="shared" si="1"/>
        <v>48</v>
      </c>
      <c r="BA5" s="48">
        <f t="shared" si="1"/>
        <v>49</v>
      </c>
      <c r="BB5" s="48">
        <f t="shared" si="1"/>
        <v>50</v>
      </c>
      <c r="BC5" s="48">
        <f t="shared" si="1"/>
        <v>51</v>
      </c>
      <c r="BD5" s="48">
        <f t="shared" si="1"/>
        <v>52</v>
      </c>
      <c r="BE5" s="48">
        <f t="shared" si="1"/>
        <v>53</v>
      </c>
      <c r="BF5" s="48">
        <f t="shared" si="1"/>
        <v>54</v>
      </c>
      <c r="BG5" s="48">
        <f t="shared" si="1"/>
        <v>55</v>
      </c>
      <c r="BH5" s="48">
        <f t="shared" si="1"/>
        <v>56</v>
      </c>
      <c r="BI5" s="48">
        <f t="shared" si="1"/>
        <v>57</v>
      </c>
      <c r="BJ5" s="48">
        <f t="shared" si="1"/>
        <v>58</v>
      </c>
      <c r="BK5" s="48">
        <f t="shared" si="1"/>
        <v>59</v>
      </c>
      <c r="BL5" s="48">
        <f t="shared" si="1"/>
        <v>60</v>
      </c>
      <c r="BM5" s="48">
        <f t="shared" si="1"/>
        <v>61</v>
      </c>
      <c r="BN5" s="48">
        <f t="shared" si="1"/>
        <v>62</v>
      </c>
      <c r="BO5" s="48">
        <f t="shared" si="1"/>
        <v>63</v>
      </c>
      <c r="BP5" s="48">
        <f t="shared" si="1"/>
        <v>64</v>
      </c>
      <c r="BQ5" s="48">
        <f t="shared" si="1"/>
        <v>65</v>
      </c>
      <c r="BR5" s="48">
        <f t="shared" si="1"/>
        <v>66</v>
      </c>
      <c r="BS5" s="48">
        <f t="shared" si="1"/>
        <v>67</v>
      </c>
      <c r="BT5" s="48">
        <f t="shared" si="1"/>
        <v>68</v>
      </c>
      <c r="BU5" s="52"/>
    </row>
    <row r="6" spans="1:73" s="16" customFormat="1" ht="32.25" customHeight="1" x14ac:dyDescent="0.45">
      <c r="A6" s="15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2" t="s">
        <v>12</v>
      </c>
      <c r="I6" s="12" t="s">
        <v>13</v>
      </c>
      <c r="J6" s="12" t="s">
        <v>14</v>
      </c>
      <c r="K6" s="11" t="s">
        <v>15</v>
      </c>
      <c r="L6" s="12" t="s">
        <v>16</v>
      </c>
      <c r="M6" s="11" t="s">
        <v>17</v>
      </c>
      <c r="N6" s="12" t="s">
        <v>18</v>
      </c>
      <c r="O6" s="11" t="s">
        <v>19</v>
      </c>
      <c r="P6" s="11" t="s">
        <v>20</v>
      </c>
      <c r="Q6" s="11" t="s">
        <v>21</v>
      </c>
      <c r="R6" s="11" t="s">
        <v>22</v>
      </c>
      <c r="S6" s="12" t="s">
        <v>23</v>
      </c>
      <c r="T6" s="12" t="s">
        <v>24</v>
      </c>
      <c r="U6" s="11" t="s">
        <v>25</v>
      </c>
      <c r="V6" s="11" t="s">
        <v>26</v>
      </c>
      <c r="W6" s="11" t="s">
        <v>27</v>
      </c>
      <c r="X6" s="11" t="s">
        <v>28</v>
      </c>
      <c r="Y6" s="11" t="s">
        <v>29</v>
      </c>
      <c r="Z6" s="11" t="s">
        <v>30</v>
      </c>
      <c r="AA6" s="11" t="s">
        <v>31</v>
      </c>
      <c r="AB6" s="11" t="s">
        <v>32</v>
      </c>
      <c r="AC6" s="11" t="s">
        <v>33</v>
      </c>
      <c r="AD6" s="11" t="s">
        <v>34</v>
      </c>
      <c r="AE6" s="11" t="s">
        <v>35</v>
      </c>
      <c r="AF6" s="11" t="s">
        <v>36</v>
      </c>
      <c r="AG6" s="11" t="s">
        <v>37</v>
      </c>
      <c r="AH6" s="11" t="s">
        <v>38</v>
      </c>
      <c r="AI6" s="13" t="s">
        <v>39</v>
      </c>
      <c r="AJ6" s="13" t="s">
        <v>40</v>
      </c>
      <c r="AK6" s="14" t="s">
        <v>41</v>
      </c>
      <c r="AL6" s="11" t="s">
        <v>42</v>
      </c>
      <c r="AM6" s="11" t="s">
        <v>43</v>
      </c>
      <c r="AN6" s="11" t="s">
        <v>44</v>
      </c>
      <c r="AO6" s="11" t="s">
        <v>45</v>
      </c>
      <c r="AP6" s="11" t="s">
        <v>46</v>
      </c>
      <c r="AQ6" s="11" t="s">
        <v>47</v>
      </c>
      <c r="AR6" s="11" t="s">
        <v>48</v>
      </c>
      <c r="AS6" s="11" t="s">
        <v>49</v>
      </c>
      <c r="AT6" s="11" t="s">
        <v>50</v>
      </c>
      <c r="AU6" s="11" t="s">
        <v>51</v>
      </c>
      <c r="AV6" s="11" t="s">
        <v>52</v>
      </c>
      <c r="AW6" s="11" t="s">
        <v>53</v>
      </c>
      <c r="AX6" s="11" t="s">
        <v>54</v>
      </c>
      <c r="AY6" s="11" t="s">
        <v>55</v>
      </c>
      <c r="AZ6" s="11" t="s">
        <v>56</v>
      </c>
      <c r="BA6" s="11" t="s">
        <v>57</v>
      </c>
      <c r="BB6" s="11" t="s">
        <v>58</v>
      </c>
      <c r="BC6" s="11" t="s">
        <v>59</v>
      </c>
      <c r="BD6" s="11" t="s">
        <v>60</v>
      </c>
      <c r="BE6" s="11" t="s">
        <v>61</v>
      </c>
      <c r="BF6" s="11" t="s">
        <v>62</v>
      </c>
      <c r="BG6" s="11" t="s">
        <v>63</v>
      </c>
      <c r="BH6" s="11" t="s">
        <v>64</v>
      </c>
      <c r="BI6" s="11" t="s">
        <v>65</v>
      </c>
      <c r="BJ6" s="11" t="s">
        <v>66</v>
      </c>
      <c r="BK6" s="11" t="s">
        <v>67</v>
      </c>
      <c r="BL6" s="11" t="s">
        <v>68</v>
      </c>
      <c r="BM6" s="11" t="s">
        <v>69</v>
      </c>
      <c r="BN6" s="11" t="s">
        <v>70</v>
      </c>
      <c r="BO6" s="11" t="s">
        <v>71</v>
      </c>
      <c r="BP6" s="12" t="s">
        <v>72</v>
      </c>
      <c r="BQ6" s="11" t="s">
        <v>73</v>
      </c>
      <c r="BR6" s="11" t="s">
        <v>74</v>
      </c>
      <c r="BS6" s="49"/>
      <c r="BT6" s="12" t="s">
        <v>75</v>
      </c>
      <c r="BU6" s="21"/>
    </row>
    <row r="7" spans="1:73" ht="14.25" x14ac:dyDescent="0.45">
      <c r="A7" s="26">
        <v>1</v>
      </c>
      <c r="B7" s="26" t="s">
        <v>76</v>
      </c>
      <c r="C7" s="26" t="s">
        <v>77</v>
      </c>
      <c r="D7" s="28" t="s">
        <v>78</v>
      </c>
      <c r="E7" s="26">
        <v>1141300014</v>
      </c>
      <c r="F7" s="26" t="s">
        <v>79</v>
      </c>
      <c r="G7" s="24" t="s">
        <v>80</v>
      </c>
      <c r="H7" s="24" t="s">
        <v>81</v>
      </c>
      <c r="I7" s="24" t="s">
        <v>82</v>
      </c>
      <c r="J7" s="26" t="s">
        <v>83</v>
      </c>
      <c r="K7" s="26" t="s">
        <v>84</v>
      </c>
      <c r="L7" s="19" t="s">
        <v>85</v>
      </c>
      <c r="M7" s="24" t="s">
        <v>86</v>
      </c>
      <c r="N7" s="1" t="s">
        <v>85</v>
      </c>
      <c r="O7" s="24" t="s">
        <v>87</v>
      </c>
      <c r="P7" s="26" t="s">
        <v>88</v>
      </c>
      <c r="Q7" s="29">
        <v>33597</v>
      </c>
      <c r="R7" s="30">
        <f t="shared" ref="R7:R57" ca="1" si="2">DATEDIF(Q7,TODAY(),"Y")</f>
        <v>34</v>
      </c>
      <c r="S7" s="31" t="str">
        <f ca="1">DATEDIF(Q7,TODAY(),"Y")&amp;" Tahun "&amp;DATEDIF(Q7,TODAY(),"YM")&amp;" Bulan "&amp;DATEDIF(Q7,TODAY(),"MD")&amp;" Hari "</f>
        <v xml:space="preserve">34 Tahun 7 Bulan 11 Hari </v>
      </c>
      <c r="T7" s="32">
        <f t="shared" ref="T7:T58" ca="1" si="3">DATE(YEAR(Q7)+56,MONTH(Q7),DAY(Q7))-TODAY()</f>
        <v>7812</v>
      </c>
      <c r="U7" s="30" t="str">
        <f t="shared" ref="U7:U58" ca="1" si="4">IF(OR(R7="-",R7=""),"",IF(R7&lt;20,"&lt; 20 Tahun",IF(R7&lt;=25,"21-25 Tahun",IF(R7&lt;=30,"26-30 Tahun",IF(R7&lt;=35,"31-35 Tahun",IF(R7&lt;=40,"36-40 Tahun",IF(R7&lt;=45,"41-45 Tahun",IF(R7&lt;=50,"46-50 Tahun",IF(R7&lt;=55,"51-55 Tahun","56 Tahun Keatas")))))))))</f>
        <v>31-35 Tahun</v>
      </c>
      <c r="V7" s="30" t="s">
        <v>89</v>
      </c>
      <c r="W7" s="24" t="s">
        <v>90</v>
      </c>
      <c r="X7" s="26" t="s">
        <v>91</v>
      </c>
      <c r="Y7" s="24" t="s">
        <v>2</v>
      </c>
      <c r="Z7" s="24" t="s">
        <v>92</v>
      </c>
      <c r="AA7" s="24" t="s">
        <v>93</v>
      </c>
      <c r="AB7" s="24" t="s">
        <v>94</v>
      </c>
      <c r="AC7" s="26" t="s">
        <v>95</v>
      </c>
      <c r="AD7" s="51"/>
      <c r="AE7" s="24" t="s">
        <v>96</v>
      </c>
      <c r="AF7" s="24" t="s">
        <v>97</v>
      </c>
      <c r="AG7" s="23" t="s">
        <v>98</v>
      </c>
      <c r="AH7" s="24" t="s">
        <v>90</v>
      </c>
      <c r="AI7" s="33">
        <v>45992</v>
      </c>
      <c r="AJ7" s="33">
        <v>46356</v>
      </c>
      <c r="AK7" s="34">
        <f ca="1">AJ7-TODAY()+1</f>
        <v>118</v>
      </c>
      <c r="AL7" s="4">
        <v>41640</v>
      </c>
      <c r="AM7" s="35">
        <v>43101</v>
      </c>
      <c r="AN7" s="24" t="s">
        <v>99</v>
      </c>
      <c r="AO7" s="24" t="s">
        <v>100</v>
      </c>
      <c r="AP7" s="24" t="s">
        <v>101</v>
      </c>
      <c r="AQ7" s="24">
        <v>30284899</v>
      </c>
      <c r="AR7" s="24">
        <v>30284899</v>
      </c>
      <c r="AS7" s="24" t="s">
        <v>102</v>
      </c>
      <c r="AT7" s="23" t="s">
        <v>103</v>
      </c>
      <c r="AU7" s="8" t="str">
        <f t="shared" ref="AU7:AU14" si="5">AT7</f>
        <v>7201012512910001</v>
      </c>
      <c r="AV7" s="24" t="s">
        <v>104</v>
      </c>
      <c r="AW7" s="36" t="s">
        <v>105</v>
      </c>
      <c r="AX7" s="24" t="s">
        <v>106</v>
      </c>
      <c r="AY7" s="24" t="s">
        <v>107</v>
      </c>
      <c r="AZ7" s="23" t="s">
        <v>108</v>
      </c>
      <c r="BA7" s="52" t="s">
        <v>109</v>
      </c>
      <c r="BB7" s="24"/>
      <c r="BC7" s="24" t="s">
        <v>110</v>
      </c>
      <c r="BD7" s="24" t="s">
        <v>111</v>
      </c>
      <c r="BE7" s="24" t="s">
        <v>112</v>
      </c>
      <c r="BF7" s="24" t="s">
        <v>113</v>
      </c>
      <c r="BG7" s="24" t="s">
        <v>81</v>
      </c>
      <c r="BH7" s="27" t="s">
        <v>114</v>
      </c>
      <c r="BI7" s="5" t="s">
        <v>115</v>
      </c>
      <c r="BJ7" s="28" t="s">
        <v>116</v>
      </c>
      <c r="BK7" s="5" t="str">
        <f t="shared" ref="BK7:BK15" si="6">BI7</f>
        <v>22040703948</v>
      </c>
      <c r="BL7" s="28" t="s">
        <v>117</v>
      </c>
      <c r="BM7" s="28" t="s">
        <v>118</v>
      </c>
      <c r="BN7" s="28" t="s">
        <v>119</v>
      </c>
      <c r="BO7" s="37">
        <v>46050</v>
      </c>
      <c r="BP7" s="34">
        <f ca="1">(BO7+365)-TODAY()+1</f>
        <v>177</v>
      </c>
      <c r="BQ7" s="10" t="s">
        <v>120</v>
      </c>
      <c r="BR7" s="10" t="s">
        <v>120</v>
      </c>
      <c r="BS7" s="44"/>
      <c r="BT7" s="20" t="s">
        <v>121</v>
      </c>
      <c r="BU7" s="44"/>
    </row>
    <row r="8" spans="1:73" ht="14.25" x14ac:dyDescent="0.45">
      <c r="A8" s="26">
        <v>2</v>
      </c>
      <c r="B8" s="26" t="s">
        <v>76</v>
      </c>
      <c r="C8" s="26" t="s">
        <v>77</v>
      </c>
      <c r="D8" s="28" t="s">
        <v>122</v>
      </c>
      <c r="E8" s="26">
        <v>1141300024</v>
      </c>
      <c r="F8" s="26" t="s">
        <v>123</v>
      </c>
      <c r="G8" s="24" t="s">
        <v>124</v>
      </c>
      <c r="H8" s="24" t="s">
        <v>81</v>
      </c>
      <c r="I8" s="24" t="s">
        <v>82</v>
      </c>
      <c r="J8" s="26" t="s">
        <v>83</v>
      </c>
      <c r="K8" s="26" t="s">
        <v>84</v>
      </c>
      <c r="L8" s="19" t="s">
        <v>85</v>
      </c>
      <c r="M8" s="24" t="s">
        <v>86</v>
      </c>
      <c r="N8" s="1" t="s">
        <v>85</v>
      </c>
      <c r="O8" s="24" t="s">
        <v>125</v>
      </c>
      <c r="P8" s="26" t="s">
        <v>126</v>
      </c>
      <c r="Q8" s="29">
        <v>33377</v>
      </c>
      <c r="R8" s="30">
        <f t="shared" ca="1" si="2"/>
        <v>35</v>
      </c>
      <c r="S8" s="31" t="str">
        <f t="shared" ref="S8:S58" ca="1" si="7">DATEDIF(Q8,TODAY(),"Y")&amp;" Tahun "&amp;DATEDIF(Q8,TODAY(),"YM")&amp;" Bulan "&amp;DATEDIF(Q8,TODAY(),"MD")&amp;" Hari "</f>
        <v xml:space="preserve">35 Tahun 2 Bulan 17 Hari </v>
      </c>
      <c r="T8" s="32">
        <f t="shared" ca="1" si="3"/>
        <v>7592</v>
      </c>
      <c r="U8" s="30" t="str">
        <f t="shared" ca="1" si="4"/>
        <v>31-35 Tahun</v>
      </c>
      <c r="V8" s="30" t="s">
        <v>89</v>
      </c>
      <c r="W8" s="24" t="s">
        <v>90</v>
      </c>
      <c r="X8" s="26" t="s">
        <v>91</v>
      </c>
      <c r="Y8" s="24" t="s">
        <v>2</v>
      </c>
      <c r="Z8" s="24" t="s">
        <v>127</v>
      </c>
      <c r="AA8" s="24" t="s">
        <v>128</v>
      </c>
      <c r="AB8" s="24" t="s">
        <v>129</v>
      </c>
      <c r="AC8" s="26" t="s">
        <v>130</v>
      </c>
      <c r="AD8" s="51"/>
      <c r="AE8" s="24" t="s">
        <v>96</v>
      </c>
      <c r="AF8" s="24" t="str">
        <f>$AF$7</f>
        <v>PT Sentral Sari Jaya</v>
      </c>
      <c r="AG8" s="23" t="s">
        <v>98</v>
      </c>
      <c r="AH8" s="24" t="s">
        <v>90</v>
      </c>
      <c r="AI8" s="33">
        <v>45992</v>
      </c>
      <c r="AJ8" s="33">
        <v>46356</v>
      </c>
      <c r="AK8" s="34">
        <f t="shared" ref="AK8:AK58" ca="1" si="8">AJ8-TODAY()+1</f>
        <v>118</v>
      </c>
      <c r="AL8" s="4">
        <v>41640</v>
      </c>
      <c r="AM8" s="35">
        <v>43101</v>
      </c>
      <c r="AN8" s="24" t="s">
        <v>99</v>
      </c>
      <c r="AO8" s="24" t="s">
        <v>100</v>
      </c>
      <c r="AP8" s="24" t="s">
        <v>101</v>
      </c>
      <c r="AQ8" s="24">
        <v>30284899</v>
      </c>
      <c r="AR8" s="24">
        <v>30284899</v>
      </c>
      <c r="AS8" s="24" t="s">
        <v>102</v>
      </c>
      <c r="AT8" s="23" t="s">
        <v>131</v>
      </c>
      <c r="AU8" s="8" t="str">
        <f t="shared" si="5"/>
        <v>6408041905910005</v>
      </c>
      <c r="AV8" s="24" t="s">
        <v>104</v>
      </c>
      <c r="AW8" s="36" t="s">
        <v>105</v>
      </c>
      <c r="AX8" s="24" t="s">
        <v>106</v>
      </c>
      <c r="AY8" s="24" t="s">
        <v>107</v>
      </c>
      <c r="AZ8" s="23" t="s">
        <v>132</v>
      </c>
      <c r="BA8" s="24" t="s">
        <v>133</v>
      </c>
      <c r="BB8" s="6" t="s">
        <v>134</v>
      </c>
      <c r="BC8" s="24" t="s">
        <v>135</v>
      </c>
      <c r="BD8" s="24" t="s">
        <v>136</v>
      </c>
      <c r="BE8" s="24" t="s">
        <v>112</v>
      </c>
      <c r="BF8" s="24" t="s">
        <v>113</v>
      </c>
      <c r="BG8" s="24" t="s">
        <v>81</v>
      </c>
      <c r="BH8" s="28" t="s">
        <v>137</v>
      </c>
      <c r="BI8" s="5" t="s">
        <v>138</v>
      </c>
      <c r="BJ8" s="28" t="s">
        <v>139</v>
      </c>
      <c r="BK8" s="5" t="str">
        <f t="shared" si="6"/>
        <v>22040703914</v>
      </c>
      <c r="BL8" s="26" t="s">
        <v>140</v>
      </c>
      <c r="BM8" s="26" t="s">
        <v>141</v>
      </c>
      <c r="BN8" s="26" t="s">
        <v>119</v>
      </c>
      <c r="BO8" s="37">
        <v>46050</v>
      </c>
      <c r="BP8" s="34">
        <f ca="1">(BO8+365)-TODAY()+1</f>
        <v>177</v>
      </c>
      <c r="BQ8" s="10" t="s">
        <v>120</v>
      </c>
      <c r="BR8" s="10" t="s">
        <v>120</v>
      </c>
      <c r="BS8" s="44"/>
      <c r="BT8" s="20" t="s">
        <v>142</v>
      </c>
      <c r="BU8" s="44"/>
    </row>
    <row r="9" spans="1:73" ht="14.25" x14ac:dyDescent="0.45">
      <c r="A9" s="26">
        <v>3</v>
      </c>
      <c r="B9" s="26" t="s">
        <v>76</v>
      </c>
      <c r="C9" s="26" t="s">
        <v>77</v>
      </c>
      <c r="D9" s="28" t="s">
        <v>143</v>
      </c>
      <c r="E9" s="28">
        <v>1141300003</v>
      </c>
      <c r="F9" s="26" t="s">
        <v>144</v>
      </c>
      <c r="G9" s="24" t="s">
        <v>145</v>
      </c>
      <c r="H9" s="24" t="s">
        <v>81</v>
      </c>
      <c r="I9" s="24" t="s">
        <v>82</v>
      </c>
      <c r="J9" s="26" t="s">
        <v>83</v>
      </c>
      <c r="K9" s="26" t="s">
        <v>84</v>
      </c>
      <c r="L9" s="19" t="s">
        <v>85</v>
      </c>
      <c r="M9" s="24" t="s">
        <v>86</v>
      </c>
      <c r="N9" s="1" t="s">
        <v>85</v>
      </c>
      <c r="O9" s="24" t="s">
        <v>125</v>
      </c>
      <c r="P9" s="26" t="s">
        <v>146</v>
      </c>
      <c r="Q9" s="29">
        <v>28143</v>
      </c>
      <c r="R9" s="30">
        <f t="shared" ca="1" si="2"/>
        <v>49</v>
      </c>
      <c r="S9" s="31" t="str">
        <f t="shared" ca="1" si="7"/>
        <v xml:space="preserve">49 Tahun 6 Bulan 18 Hari </v>
      </c>
      <c r="T9" s="32">
        <f t="shared" ca="1" si="3"/>
        <v>2358</v>
      </c>
      <c r="U9" s="30" t="str">
        <f t="shared" ca="1" si="4"/>
        <v>46-50 Tahun</v>
      </c>
      <c r="V9" s="30" t="s">
        <v>89</v>
      </c>
      <c r="W9" s="24" t="s">
        <v>90</v>
      </c>
      <c r="X9" s="26" t="s">
        <v>91</v>
      </c>
      <c r="Y9" s="24" t="s">
        <v>2</v>
      </c>
      <c r="Z9" s="24" t="s">
        <v>92</v>
      </c>
      <c r="AA9" s="24" t="s">
        <v>147</v>
      </c>
      <c r="AB9" s="24" t="s">
        <v>94</v>
      </c>
      <c r="AC9" s="26" t="s">
        <v>148</v>
      </c>
      <c r="AD9" s="51"/>
      <c r="AE9" s="24" t="s">
        <v>96</v>
      </c>
      <c r="AF9" s="24" t="str">
        <f t="shared" ref="AF9:AF58" si="9">$AF$7</f>
        <v>PT Sentral Sari Jaya</v>
      </c>
      <c r="AG9" s="23" t="s">
        <v>98</v>
      </c>
      <c r="AH9" s="24" t="s">
        <v>90</v>
      </c>
      <c r="AI9" s="33">
        <v>45992</v>
      </c>
      <c r="AJ9" s="33">
        <v>46356</v>
      </c>
      <c r="AK9" s="34">
        <f t="shared" ca="1" si="8"/>
        <v>118</v>
      </c>
      <c r="AL9" s="4">
        <v>41640</v>
      </c>
      <c r="AM9" s="35">
        <v>44501</v>
      </c>
      <c r="AN9" s="24" t="s">
        <v>99</v>
      </c>
      <c r="AO9" s="24" t="s">
        <v>100</v>
      </c>
      <c r="AP9" s="24" t="s">
        <v>101</v>
      </c>
      <c r="AQ9" s="24">
        <v>30284899</v>
      </c>
      <c r="AR9" s="24">
        <v>30284899</v>
      </c>
      <c r="AS9" s="24" t="s">
        <v>102</v>
      </c>
      <c r="AT9" s="22" t="s">
        <v>149</v>
      </c>
      <c r="AU9" s="8" t="str">
        <f t="shared" si="5"/>
        <v>7201018017700001</v>
      </c>
      <c r="AV9" s="24" t="s">
        <v>104</v>
      </c>
      <c r="AW9" s="36" t="s">
        <v>105</v>
      </c>
      <c r="AX9" s="24" t="s">
        <v>106</v>
      </c>
      <c r="AY9" s="24" t="s">
        <v>107</v>
      </c>
      <c r="AZ9" s="23" t="s">
        <v>150</v>
      </c>
      <c r="BA9" s="24" t="s">
        <v>151</v>
      </c>
      <c r="BB9" s="24"/>
      <c r="BC9" s="24" t="s">
        <v>152</v>
      </c>
      <c r="BD9" s="24" t="s">
        <v>111</v>
      </c>
      <c r="BE9" s="24" t="s">
        <v>112</v>
      </c>
      <c r="BF9" s="24" t="s">
        <v>113</v>
      </c>
      <c r="BG9" s="24" t="s">
        <v>81</v>
      </c>
      <c r="BH9" s="27" t="s">
        <v>153</v>
      </c>
      <c r="BI9" s="5" t="s">
        <v>154</v>
      </c>
      <c r="BJ9" s="28" t="s">
        <v>155</v>
      </c>
      <c r="BK9" s="5" t="str">
        <f t="shared" si="6"/>
        <v>22040703963</v>
      </c>
      <c r="BL9" s="26" t="s">
        <v>156</v>
      </c>
      <c r="BM9" s="26" t="s">
        <v>157</v>
      </c>
      <c r="BN9" s="26" t="s">
        <v>119</v>
      </c>
      <c r="BO9" s="37">
        <v>46048</v>
      </c>
      <c r="BP9" s="34">
        <f ca="1">(BO9+365)-TODAY()+1</f>
        <v>175</v>
      </c>
      <c r="BQ9" s="10" t="s">
        <v>120</v>
      </c>
      <c r="BR9" s="10" t="s">
        <v>120</v>
      </c>
      <c r="BS9" s="44"/>
      <c r="BT9" s="20" t="s">
        <v>158</v>
      </c>
      <c r="BU9" s="44"/>
    </row>
    <row r="10" spans="1:73" ht="14.25" x14ac:dyDescent="0.45">
      <c r="A10" s="26">
        <v>4</v>
      </c>
      <c r="B10" s="26" t="s">
        <v>76</v>
      </c>
      <c r="C10" s="26" t="s">
        <v>77</v>
      </c>
      <c r="D10" s="28" t="s">
        <v>159</v>
      </c>
      <c r="E10" s="26">
        <v>1141300060</v>
      </c>
      <c r="F10" s="26" t="s">
        <v>160</v>
      </c>
      <c r="G10" s="24" t="s">
        <v>145</v>
      </c>
      <c r="H10" s="24" t="s">
        <v>81</v>
      </c>
      <c r="I10" s="24" t="s">
        <v>82</v>
      </c>
      <c r="J10" s="26" t="s">
        <v>83</v>
      </c>
      <c r="K10" s="26" t="s">
        <v>84</v>
      </c>
      <c r="L10" s="19" t="s">
        <v>85</v>
      </c>
      <c r="M10" s="24" t="s">
        <v>86</v>
      </c>
      <c r="N10" s="1" t="s">
        <v>85</v>
      </c>
      <c r="O10" s="24" t="s">
        <v>125</v>
      </c>
      <c r="P10" s="26" t="s">
        <v>161</v>
      </c>
      <c r="Q10" s="29">
        <v>35956</v>
      </c>
      <c r="R10" s="30">
        <f t="shared" ca="1" si="2"/>
        <v>28</v>
      </c>
      <c r="S10" s="31" t="str">
        <f t="shared" ca="1" si="7"/>
        <v xml:space="preserve">28 Tahun 1 Bulan 26 Hari </v>
      </c>
      <c r="T10" s="32">
        <f t="shared" ca="1" si="3"/>
        <v>10171</v>
      </c>
      <c r="U10" s="30" t="str">
        <f t="shared" ca="1" si="4"/>
        <v>26-30 Tahun</v>
      </c>
      <c r="V10" s="30" t="s">
        <v>89</v>
      </c>
      <c r="W10" s="24" t="s">
        <v>90</v>
      </c>
      <c r="X10" s="26" t="s">
        <v>91</v>
      </c>
      <c r="Y10" s="24" t="s">
        <v>2</v>
      </c>
      <c r="Z10" s="24" t="s">
        <v>92</v>
      </c>
      <c r="AA10" s="24" t="s">
        <v>162</v>
      </c>
      <c r="AB10" s="24" t="s">
        <v>163</v>
      </c>
      <c r="AC10" s="26" t="s">
        <v>148</v>
      </c>
      <c r="AD10" s="51"/>
      <c r="AE10" s="24" t="s">
        <v>96</v>
      </c>
      <c r="AF10" s="24" t="str">
        <f t="shared" si="9"/>
        <v>PT Sentral Sari Jaya</v>
      </c>
      <c r="AG10" s="23" t="s">
        <v>98</v>
      </c>
      <c r="AH10" s="24" t="s">
        <v>90</v>
      </c>
      <c r="AI10" s="33">
        <v>45992</v>
      </c>
      <c r="AJ10" s="33">
        <v>46356</v>
      </c>
      <c r="AK10" s="34">
        <f t="shared" ca="1" si="8"/>
        <v>118</v>
      </c>
      <c r="AL10" s="4">
        <v>41640</v>
      </c>
      <c r="AM10" s="35">
        <v>43101</v>
      </c>
      <c r="AN10" s="24" t="s">
        <v>99</v>
      </c>
      <c r="AO10" s="24" t="s">
        <v>100</v>
      </c>
      <c r="AP10" s="24" t="s">
        <v>101</v>
      </c>
      <c r="AQ10" s="24">
        <v>30284899</v>
      </c>
      <c r="AR10" s="24">
        <v>30284899</v>
      </c>
      <c r="AS10" s="24" t="s">
        <v>102</v>
      </c>
      <c r="AT10" s="23" t="s">
        <v>164</v>
      </c>
      <c r="AU10" s="8" t="str">
        <f t="shared" si="5"/>
        <v>7201011006980001</v>
      </c>
      <c r="AV10" s="24" t="s">
        <v>104</v>
      </c>
      <c r="AW10" s="36" t="s">
        <v>165</v>
      </c>
      <c r="AX10" s="24" t="s">
        <v>106</v>
      </c>
      <c r="AY10" s="24" t="s">
        <v>107</v>
      </c>
      <c r="AZ10" s="23" t="s">
        <v>166</v>
      </c>
      <c r="BA10" s="24" t="s">
        <v>167</v>
      </c>
      <c r="BB10" s="24"/>
      <c r="BC10" s="24" t="s">
        <v>168</v>
      </c>
      <c r="BD10" s="24" t="s">
        <v>169</v>
      </c>
      <c r="BE10" s="24" t="s">
        <v>112</v>
      </c>
      <c r="BF10" s="24" t="s">
        <v>113</v>
      </c>
      <c r="BG10" s="24" t="s">
        <v>81</v>
      </c>
      <c r="BH10" s="28" t="s">
        <v>170</v>
      </c>
      <c r="BI10" s="5" t="s">
        <v>171</v>
      </c>
      <c r="BJ10" s="28" t="s">
        <v>172</v>
      </c>
      <c r="BK10" s="5" t="str">
        <f t="shared" si="6"/>
        <v>21097188532</v>
      </c>
      <c r="BL10" s="26" t="s">
        <v>173</v>
      </c>
      <c r="BM10" s="26" t="s">
        <v>174</v>
      </c>
      <c r="BN10" s="26" t="s">
        <v>119</v>
      </c>
      <c r="BO10" s="37">
        <v>46190</v>
      </c>
      <c r="BP10" s="34">
        <f ca="1">(BO10+365)-TODAY()+1</f>
        <v>317</v>
      </c>
      <c r="BQ10" s="10" t="s">
        <v>120</v>
      </c>
      <c r="BR10" s="10" t="s">
        <v>120</v>
      </c>
      <c r="BS10" s="44"/>
      <c r="BT10" s="20" t="s">
        <v>175</v>
      </c>
      <c r="BU10" s="44"/>
    </row>
    <row r="11" spans="1:73" ht="14.25" x14ac:dyDescent="0.45">
      <c r="A11" s="26">
        <v>5</v>
      </c>
      <c r="B11" s="26" t="s">
        <v>76</v>
      </c>
      <c r="C11" s="26" t="s">
        <v>77</v>
      </c>
      <c r="D11" s="28" t="s">
        <v>176</v>
      </c>
      <c r="E11" s="26">
        <v>1141300021</v>
      </c>
      <c r="F11" s="26" t="s">
        <v>177</v>
      </c>
      <c r="G11" s="24" t="s">
        <v>145</v>
      </c>
      <c r="H11" s="24" t="s">
        <v>81</v>
      </c>
      <c r="I11" s="24" t="s">
        <v>82</v>
      </c>
      <c r="J11" s="26" t="s">
        <v>83</v>
      </c>
      <c r="K11" s="26" t="s">
        <v>84</v>
      </c>
      <c r="L11" s="19" t="s">
        <v>85</v>
      </c>
      <c r="M11" s="24" t="s">
        <v>86</v>
      </c>
      <c r="N11" s="1" t="s">
        <v>85</v>
      </c>
      <c r="O11" s="24" t="s">
        <v>125</v>
      </c>
      <c r="P11" s="26" t="s">
        <v>178</v>
      </c>
      <c r="Q11" s="29">
        <v>31079</v>
      </c>
      <c r="R11" s="30">
        <f t="shared" ca="1" si="2"/>
        <v>41</v>
      </c>
      <c r="S11" s="31" t="str">
        <f t="shared" ca="1" si="7"/>
        <v xml:space="preserve">41 Tahun 6 Bulan 4 Hari </v>
      </c>
      <c r="T11" s="32">
        <f t="shared" ca="1" si="3"/>
        <v>5294</v>
      </c>
      <c r="U11" s="30" t="str">
        <f t="shared" ca="1" si="4"/>
        <v>41-45 Tahun</v>
      </c>
      <c r="V11" s="30" t="s">
        <v>89</v>
      </c>
      <c r="W11" s="24" t="s">
        <v>90</v>
      </c>
      <c r="X11" s="26" t="s">
        <v>91</v>
      </c>
      <c r="Y11" s="24" t="s">
        <v>2</v>
      </c>
      <c r="Z11" s="24" t="s">
        <v>179</v>
      </c>
      <c r="AA11" s="24" t="s">
        <v>180</v>
      </c>
      <c r="AB11" s="24" t="s">
        <v>181</v>
      </c>
      <c r="AC11" s="26" t="s">
        <v>148</v>
      </c>
      <c r="AD11" s="51"/>
      <c r="AE11" s="24" t="s">
        <v>96</v>
      </c>
      <c r="AF11" s="24" t="str">
        <f t="shared" si="9"/>
        <v>PT Sentral Sari Jaya</v>
      </c>
      <c r="AG11" s="23" t="s">
        <v>98</v>
      </c>
      <c r="AH11" s="24" t="s">
        <v>90</v>
      </c>
      <c r="AI11" s="33">
        <v>45992</v>
      </c>
      <c r="AJ11" s="33">
        <v>46356</v>
      </c>
      <c r="AK11" s="34">
        <f t="shared" ca="1" si="8"/>
        <v>118</v>
      </c>
      <c r="AL11" s="4">
        <v>41640</v>
      </c>
      <c r="AM11" s="35">
        <v>43891</v>
      </c>
      <c r="AN11" s="24" t="s">
        <v>99</v>
      </c>
      <c r="AO11" s="24" t="s">
        <v>100</v>
      </c>
      <c r="AP11" s="24" t="s">
        <v>101</v>
      </c>
      <c r="AQ11" s="24">
        <v>30284899</v>
      </c>
      <c r="AR11" s="24">
        <v>30284899</v>
      </c>
      <c r="AS11" s="24" t="s">
        <v>102</v>
      </c>
      <c r="AT11" s="23" t="s">
        <v>182</v>
      </c>
      <c r="AU11" s="8" t="str">
        <f t="shared" si="5"/>
        <v>7201010102850001</v>
      </c>
      <c r="AV11" s="24" t="s">
        <v>104</v>
      </c>
      <c r="AW11" s="36" t="s">
        <v>183</v>
      </c>
      <c r="AX11" s="24" t="s">
        <v>106</v>
      </c>
      <c r="AY11" s="24" t="s">
        <v>107</v>
      </c>
      <c r="AZ11" s="23" t="s">
        <v>184</v>
      </c>
      <c r="BA11" s="24" t="s">
        <v>185</v>
      </c>
      <c r="BB11" s="24"/>
      <c r="BC11" s="24" t="s">
        <v>186</v>
      </c>
      <c r="BD11" s="24" t="s">
        <v>111</v>
      </c>
      <c r="BE11" s="24" t="s">
        <v>112</v>
      </c>
      <c r="BF11" s="24" t="s">
        <v>113</v>
      </c>
      <c r="BG11" s="24" t="s">
        <v>81</v>
      </c>
      <c r="BH11" s="27" t="s">
        <v>187</v>
      </c>
      <c r="BI11" s="5" t="s">
        <v>188</v>
      </c>
      <c r="BJ11" s="28" t="s">
        <v>189</v>
      </c>
      <c r="BK11" s="5" t="str">
        <f t="shared" si="6"/>
        <v>22040703922</v>
      </c>
      <c r="BL11" s="26" t="s">
        <v>190</v>
      </c>
      <c r="BM11" s="26" t="s">
        <v>191</v>
      </c>
      <c r="BN11" s="26" t="s">
        <v>119</v>
      </c>
      <c r="BO11" s="37">
        <v>46043</v>
      </c>
      <c r="BP11" s="34">
        <f ca="1">(BO11+365)-TODAY()+1</f>
        <v>170</v>
      </c>
      <c r="BQ11" s="10" t="s">
        <v>120</v>
      </c>
      <c r="BR11" s="10" t="s">
        <v>120</v>
      </c>
      <c r="BS11" s="44"/>
      <c r="BT11" s="20" t="s">
        <v>192</v>
      </c>
      <c r="BU11" s="44"/>
    </row>
    <row r="12" spans="1:73" ht="14.25" x14ac:dyDescent="0.45">
      <c r="A12" s="26">
        <v>6</v>
      </c>
      <c r="B12" s="26" t="s">
        <v>76</v>
      </c>
      <c r="C12" s="26" t="s">
        <v>77</v>
      </c>
      <c r="D12" s="28" t="s">
        <v>193</v>
      </c>
      <c r="E12" s="26">
        <v>1141300027</v>
      </c>
      <c r="F12" s="26" t="s">
        <v>194</v>
      </c>
      <c r="G12" s="24" t="s">
        <v>124</v>
      </c>
      <c r="H12" s="24" t="s">
        <v>81</v>
      </c>
      <c r="I12" s="24" t="s">
        <v>82</v>
      </c>
      <c r="J12" s="26" t="s">
        <v>83</v>
      </c>
      <c r="K12" s="26" t="s">
        <v>84</v>
      </c>
      <c r="L12" s="19" t="s">
        <v>85</v>
      </c>
      <c r="M12" s="24" t="s">
        <v>86</v>
      </c>
      <c r="N12" s="1" t="s">
        <v>85</v>
      </c>
      <c r="O12" s="24" t="s">
        <v>125</v>
      </c>
      <c r="P12" s="26" t="s">
        <v>195</v>
      </c>
      <c r="Q12" s="29">
        <v>33909</v>
      </c>
      <c r="R12" s="30">
        <f t="shared" ca="1" si="2"/>
        <v>33</v>
      </c>
      <c r="S12" s="31" t="str">
        <f t="shared" ca="1" si="7"/>
        <v xml:space="preserve">33 Tahun 9 Bulan 4 Hari </v>
      </c>
      <c r="T12" s="32">
        <f t="shared" ca="1" si="3"/>
        <v>8124</v>
      </c>
      <c r="U12" s="30" t="str">
        <f t="shared" ca="1" si="4"/>
        <v>31-35 Tahun</v>
      </c>
      <c r="V12" s="30" t="s">
        <v>89</v>
      </c>
      <c r="W12" s="24" t="s">
        <v>90</v>
      </c>
      <c r="X12" s="26" t="s">
        <v>91</v>
      </c>
      <c r="Y12" s="24" t="s">
        <v>2</v>
      </c>
      <c r="Z12" s="24" t="s">
        <v>179</v>
      </c>
      <c r="AA12" s="24" t="s">
        <v>196</v>
      </c>
      <c r="AB12" s="24" t="s">
        <v>181</v>
      </c>
      <c r="AC12" s="26" t="s">
        <v>130</v>
      </c>
      <c r="AD12" s="51"/>
      <c r="AE12" s="24" t="s">
        <v>96</v>
      </c>
      <c r="AF12" s="24" t="str">
        <f t="shared" si="9"/>
        <v>PT Sentral Sari Jaya</v>
      </c>
      <c r="AG12" s="23" t="s">
        <v>98</v>
      </c>
      <c r="AH12" s="24" t="s">
        <v>90</v>
      </c>
      <c r="AI12" s="33">
        <v>45992</v>
      </c>
      <c r="AJ12" s="33">
        <v>46356</v>
      </c>
      <c r="AK12" s="34">
        <f t="shared" ca="1" si="8"/>
        <v>118</v>
      </c>
      <c r="AL12" s="4">
        <v>41640</v>
      </c>
      <c r="AM12" s="35">
        <v>44549</v>
      </c>
      <c r="AN12" s="24" t="s">
        <v>99</v>
      </c>
      <c r="AO12" s="24" t="s">
        <v>100</v>
      </c>
      <c r="AP12" s="24" t="s">
        <v>101</v>
      </c>
      <c r="AQ12" s="24">
        <v>30284899</v>
      </c>
      <c r="AR12" s="24">
        <v>30284899</v>
      </c>
      <c r="AS12" s="24" t="s">
        <v>102</v>
      </c>
      <c r="AT12" s="23" t="s">
        <v>197</v>
      </c>
      <c r="AU12" s="8" t="str">
        <f t="shared" si="5"/>
        <v>7324050111920001</v>
      </c>
      <c r="AV12" s="24" t="s">
        <v>104</v>
      </c>
      <c r="AW12" s="36" t="s">
        <v>165</v>
      </c>
      <c r="AX12" s="24" t="s">
        <v>106</v>
      </c>
      <c r="AY12" s="24" t="s">
        <v>198</v>
      </c>
      <c r="AZ12" s="23" t="s">
        <v>199</v>
      </c>
      <c r="BA12" s="24" t="s">
        <v>200</v>
      </c>
      <c r="BB12" s="6" t="s">
        <v>201</v>
      </c>
      <c r="BC12" s="24" t="s">
        <v>202</v>
      </c>
      <c r="BD12" s="24" t="s">
        <v>169</v>
      </c>
      <c r="BE12" s="24" t="s">
        <v>112</v>
      </c>
      <c r="BF12" s="24" t="s">
        <v>113</v>
      </c>
      <c r="BG12" s="24" t="s">
        <v>81</v>
      </c>
      <c r="BH12" s="27" t="s">
        <v>203</v>
      </c>
      <c r="BI12" s="5" t="s">
        <v>204</v>
      </c>
      <c r="BJ12" s="28" t="s">
        <v>205</v>
      </c>
      <c r="BK12" s="5" t="str">
        <f t="shared" si="6"/>
        <v>22040703898</v>
      </c>
      <c r="BL12" s="28" t="s">
        <v>206</v>
      </c>
      <c r="BM12" s="26" t="s">
        <v>207</v>
      </c>
      <c r="BN12" s="26" t="s">
        <v>119</v>
      </c>
      <c r="BO12" s="37">
        <v>46048</v>
      </c>
      <c r="BP12" s="34">
        <f t="shared" ref="BP12:BP58" ca="1" si="10">(BO12+365)-TODAY()+1</f>
        <v>175</v>
      </c>
      <c r="BQ12" s="10" t="s">
        <v>120</v>
      </c>
      <c r="BR12" s="10" t="s">
        <v>120</v>
      </c>
      <c r="BS12" s="44"/>
      <c r="BT12" s="20" t="s">
        <v>208</v>
      </c>
      <c r="BU12" s="44"/>
    </row>
    <row r="13" spans="1:73" ht="14.25" x14ac:dyDescent="0.45">
      <c r="A13" s="26">
        <v>7</v>
      </c>
      <c r="B13" s="26" t="s">
        <v>76</v>
      </c>
      <c r="C13" s="26" t="s">
        <v>77</v>
      </c>
      <c r="D13" s="28" t="s">
        <v>209</v>
      </c>
      <c r="E13" s="28">
        <v>1141300007</v>
      </c>
      <c r="F13" s="26" t="s">
        <v>210</v>
      </c>
      <c r="G13" s="24" t="s">
        <v>80</v>
      </c>
      <c r="H13" s="24" t="s">
        <v>81</v>
      </c>
      <c r="I13" s="24" t="s">
        <v>82</v>
      </c>
      <c r="J13" s="26" t="s">
        <v>83</v>
      </c>
      <c r="K13" s="26" t="s">
        <v>84</v>
      </c>
      <c r="L13" s="19" t="s">
        <v>85</v>
      </c>
      <c r="M13" s="24" t="s">
        <v>86</v>
      </c>
      <c r="N13" s="1" t="s">
        <v>85</v>
      </c>
      <c r="O13" s="24" t="s">
        <v>87</v>
      </c>
      <c r="P13" s="26" t="s">
        <v>211</v>
      </c>
      <c r="Q13" s="29">
        <v>30743</v>
      </c>
      <c r="R13" s="30">
        <f t="shared" ca="1" si="2"/>
        <v>42</v>
      </c>
      <c r="S13" s="31" t="str">
        <f t="shared" ca="1" si="7"/>
        <v xml:space="preserve">42 Tahun 5 Bulan 3 Hari </v>
      </c>
      <c r="T13" s="32">
        <f t="shared" ca="1" si="3"/>
        <v>4958</v>
      </c>
      <c r="U13" s="30" t="str">
        <f t="shared" ca="1" si="4"/>
        <v>41-45 Tahun</v>
      </c>
      <c r="V13" s="30" t="s">
        <v>89</v>
      </c>
      <c r="W13" s="24" t="s">
        <v>90</v>
      </c>
      <c r="X13" s="26" t="s">
        <v>91</v>
      </c>
      <c r="Y13" s="24" t="s">
        <v>2</v>
      </c>
      <c r="Z13" s="24" t="s">
        <v>92</v>
      </c>
      <c r="AA13" s="24" t="s">
        <v>162</v>
      </c>
      <c r="AB13" s="24" t="s">
        <v>212</v>
      </c>
      <c r="AC13" s="26" t="s">
        <v>95</v>
      </c>
      <c r="AD13" s="51"/>
      <c r="AE13" s="24" t="s">
        <v>96</v>
      </c>
      <c r="AF13" s="24" t="str">
        <f t="shared" si="9"/>
        <v>PT Sentral Sari Jaya</v>
      </c>
      <c r="AG13" s="23" t="s">
        <v>98</v>
      </c>
      <c r="AH13" s="24" t="s">
        <v>90</v>
      </c>
      <c r="AI13" s="33">
        <v>45992</v>
      </c>
      <c r="AJ13" s="33">
        <v>46356</v>
      </c>
      <c r="AK13" s="34">
        <f t="shared" ca="1" si="8"/>
        <v>118</v>
      </c>
      <c r="AL13" s="4">
        <v>41640</v>
      </c>
      <c r="AM13" s="35">
        <v>43101</v>
      </c>
      <c r="AN13" s="24" t="s">
        <v>99</v>
      </c>
      <c r="AO13" s="24" t="s">
        <v>100</v>
      </c>
      <c r="AP13" s="24" t="s">
        <v>101</v>
      </c>
      <c r="AQ13" s="24">
        <v>30284899</v>
      </c>
      <c r="AR13" s="24">
        <v>30284899</v>
      </c>
      <c r="AS13" s="24" t="s">
        <v>102</v>
      </c>
      <c r="AT13" s="23" t="s">
        <v>213</v>
      </c>
      <c r="AU13" s="8" t="str">
        <f t="shared" si="5"/>
        <v>7201090203840002</v>
      </c>
      <c r="AV13" s="24" t="s">
        <v>104</v>
      </c>
      <c r="AW13" s="36" t="s">
        <v>105</v>
      </c>
      <c r="AX13" s="24" t="s">
        <v>106</v>
      </c>
      <c r="AY13" s="24" t="s">
        <v>107</v>
      </c>
      <c r="AZ13" s="23" t="s">
        <v>214</v>
      </c>
      <c r="BA13" s="24" t="s">
        <v>215</v>
      </c>
      <c r="BB13" s="24"/>
      <c r="BC13" s="24" t="s">
        <v>216</v>
      </c>
      <c r="BD13" s="24" t="s">
        <v>111</v>
      </c>
      <c r="BE13" s="24" t="s">
        <v>112</v>
      </c>
      <c r="BF13" s="24" t="s">
        <v>113</v>
      </c>
      <c r="BG13" s="24" t="s">
        <v>81</v>
      </c>
      <c r="BH13" s="28" t="s">
        <v>217</v>
      </c>
      <c r="BI13" s="5" t="s">
        <v>218</v>
      </c>
      <c r="BJ13" s="28" t="s">
        <v>219</v>
      </c>
      <c r="BK13" s="5" t="str">
        <f t="shared" si="6"/>
        <v>22040703880</v>
      </c>
      <c r="BL13" s="26" t="s">
        <v>220</v>
      </c>
      <c r="BM13" s="26" t="s">
        <v>221</v>
      </c>
      <c r="BN13" s="26" t="s">
        <v>119</v>
      </c>
      <c r="BO13" s="37">
        <v>46043</v>
      </c>
      <c r="BP13" s="34">
        <f t="shared" ca="1" si="10"/>
        <v>170</v>
      </c>
      <c r="BQ13" s="10" t="s">
        <v>120</v>
      </c>
      <c r="BR13" s="10" t="s">
        <v>120</v>
      </c>
      <c r="BS13" s="44"/>
      <c r="BT13" s="20" t="s">
        <v>222</v>
      </c>
      <c r="BU13" s="44"/>
    </row>
    <row r="14" spans="1:73" ht="14.25" x14ac:dyDescent="0.45">
      <c r="A14" s="26">
        <v>8</v>
      </c>
      <c r="B14" s="26" t="s">
        <v>76</v>
      </c>
      <c r="C14" s="26" t="s">
        <v>77</v>
      </c>
      <c r="D14" s="28" t="s">
        <v>223</v>
      </c>
      <c r="E14" s="26">
        <v>1141300022</v>
      </c>
      <c r="F14" s="26" t="s">
        <v>224</v>
      </c>
      <c r="G14" s="24" t="s">
        <v>124</v>
      </c>
      <c r="H14" s="24" t="s">
        <v>81</v>
      </c>
      <c r="I14" s="24" t="s">
        <v>82</v>
      </c>
      <c r="J14" s="26" t="s">
        <v>83</v>
      </c>
      <c r="K14" s="26" t="s">
        <v>84</v>
      </c>
      <c r="L14" s="19" t="s">
        <v>85</v>
      </c>
      <c r="M14" s="24" t="s">
        <v>86</v>
      </c>
      <c r="N14" s="1" t="s">
        <v>85</v>
      </c>
      <c r="O14" s="24" t="s">
        <v>125</v>
      </c>
      <c r="P14" s="26" t="s">
        <v>225</v>
      </c>
      <c r="Q14" s="29">
        <v>35097</v>
      </c>
      <c r="R14" s="30">
        <f t="shared" ca="1" si="2"/>
        <v>30</v>
      </c>
      <c r="S14" s="31" t="str">
        <f t="shared" ca="1" si="7"/>
        <v xml:space="preserve">30 Tahun 6 Bulan 3 Hari </v>
      </c>
      <c r="T14" s="32">
        <f t="shared" ca="1" si="3"/>
        <v>9312</v>
      </c>
      <c r="U14" s="30" t="str">
        <f t="shared" ca="1" si="4"/>
        <v>26-30 Tahun</v>
      </c>
      <c r="V14" s="30" t="s">
        <v>89</v>
      </c>
      <c r="W14" s="24" t="s">
        <v>90</v>
      </c>
      <c r="X14" s="26" t="s">
        <v>91</v>
      </c>
      <c r="Y14" s="24" t="s">
        <v>2</v>
      </c>
      <c r="Z14" s="24" t="s">
        <v>92</v>
      </c>
      <c r="AA14" s="24" t="s">
        <v>162</v>
      </c>
      <c r="AB14" s="24" t="s">
        <v>226</v>
      </c>
      <c r="AC14" s="26" t="s">
        <v>130</v>
      </c>
      <c r="AD14" s="51"/>
      <c r="AE14" s="24" t="s">
        <v>96</v>
      </c>
      <c r="AF14" s="24" t="str">
        <f t="shared" si="9"/>
        <v>PT Sentral Sari Jaya</v>
      </c>
      <c r="AG14" s="23" t="s">
        <v>98</v>
      </c>
      <c r="AH14" s="24" t="s">
        <v>90</v>
      </c>
      <c r="AI14" s="33">
        <v>45992</v>
      </c>
      <c r="AJ14" s="33">
        <v>46356</v>
      </c>
      <c r="AK14" s="34">
        <f t="shared" ca="1" si="8"/>
        <v>118</v>
      </c>
      <c r="AL14" s="4">
        <v>41640</v>
      </c>
      <c r="AM14" s="35">
        <v>44197</v>
      </c>
      <c r="AN14" s="24" t="s">
        <v>99</v>
      </c>
      <c r="AO14" s="24" t="s">
        <v>100</v>
      </c>
      <c r="AP14" s="24" t="s">
        <v>101</v>
      </c>
      <c r="AQ14" s="24">
        <v>30284899</v>
      </c>
      <c r="AR14" s="24">
        <v>30284899</v>
      </c>
      <c r="AS14" s="24" t="s">
        <v>102</v>
      </c>
      <c r="AT14" s="23" t="s">
        <v>227</v>
      </c>
      <c r="AU14" s="8" t="str">
        <f t="shared" si="5"/>
        <v>7201010202960002</v>
      </c>
      <c r="AV14" s="24" t="s">
        <v>104</v>
      </c>
      <c r="AW14" s="36" t="s">
        <v>165</v>
      </c>
      <c r="AX14" s="24" t="s">
        <v>106</v>
      </c>
      <c r="AY14" s="24" t="s">
        <v>107</v>
      </c>
      <c r="AZ14" s="23" t="s">
        <v>228</v>
      </c>
      <c r="BA14" s="24" t="s">
        <v>229</v>
      </c>
      <c r="BB14" s="6" t="s">
        <v>230</v>
      </c>
      <c r="BC14" s="24" t="s">
        <v>231</v>
      </c>
      <c r="BD14" s="24" t="s">
        <v>111</v>
      </c>
      <c r="BE14" s="24" t="s">
        <v>112</v>
      </c>
      <c r="BF14" s="24" t="s">
        <v>113</v>
      </c>
      <c r="BG14" s="24" t="s">
        <v>81</v>
      </c>
      <c r="BH14" s="28" t="s">
        <v>232</v>
      </c>
      <c r="BI14" s="5" t="s">
        <v>233</v>
      </c>
      <c r="BJ14" s="28" t="s">
        <v>234</v>
      </c>
      <c r="BK14" s="5" t="str">
        <f t="shared" si="6"/>
        <v>22040703930</v>
      </c>
      <c r="BL14" s="26" t="s">
        <v>235</v>
      </c>
      <c r="BM14" s="26" t="s">
        <v>236</v>
      </c>
      <c r="BN14" s="26" t="s">
        <v>237</v>
      </c>
      <c r="BO14" s="37">
        <v>46048</v>
      </c>
      <c r="BP14" s="34">
        <f t="shared" ca="1" si="10"/>
        <v>175</v>
      </c>
      <c r="BQ14" s="10" t="s">
        <v>120</v>
      </c>
      <c r="BR14" s="10" t="s">
        <v>120</v>
      </c>
      <c r="BS14" s="44"/>
      <c r="BT14" s="20" t="s">
        <v>238</v>
      </c>
      <c r="BU14" s="44"/>
    </row>
    <row r="15" spans="1:73" ht="14.25" x14ac:dyDescent="0.45">
      <c r="A15" s="26">
        <v>9</v>
      </c>
      <c r="B15" s="26" t="s">
        <v>76</v>
      </c>
      <c r="C15" s="26" t="s">
        <v>77</v>
      </c>
      <c r="D15" s="28" t="s">
        <v>239</v>
      </c>
      <c r="E15" s="38"/>
      <c r="F15" s="26" t="s">
        <v>240</v>
      </c>
      <c r="G15" s="26" t="s">
        <v>145</v>
      </c>
      <c r="H15" s="26" t="s">
        <v>81</v>
      </c>
      <c r="I15" s="24" t="s">
        <v>82</v>
      </c>
      <c r="J15" s="26" t="s">
        <v>83</v>
      </c>
      <c r="K15" s="26" t="s">
        <v>84</v>
      </c>
      <c r="L15" s="19" t="s">
        <v>85</v>
      </c>
      <c r="M15" s="24" t="s">
        <v>86</v>
      </c>
      <c r="N15" s="1" t="s">
        <v>85</v>
      </c>
      <c r="O15" s="26" t="s">
        <v>125</v>
      </c>
      <c r="P15" s="39" t="s">
        <v>241</v>
      </c>
      <c r="Q15" s="40">
        <v>32784</v>
      </c>
      <c r="R15" s="30">
        <f t="shared" ca="1" si="2"/>
        <v>36</v>
      </c>
      <c r="S15" s="31" t="str">
        <f t="shared" ca="1" si="7"/>
        <v xml:space="preserve">36 Tahun 10 Bulan 2 Hari </v>
      </c>
      <c r="T15" s="32">
        <f t="shared" ca="1" si="3"/>
        <v>6999</v>
      </c>
      <c r="U15" s="30" t="str">
        <f t="shared" ca="1" si="4"/>
        <v>36-40 Tahun</v>
      </c>
      <c r="V15" s="30" t="s">
        <v>89</v>
      </c>
      <c r="W15" s="24" t="s">
        <v>90</v>
      </c>
      <c r="X15" s="26" t="s">
        <v>91</v>
      </c>
      <c r="Y15" s="24" t="s">
        <v>2</v>
      </c>
      <c r="Z15" s="26" t="s">
        <v>242</v>
      </c>
      <c r="AA15" s="26" t="s">
        <v>243</v>
      </c>
      <c r="AB15" s="26" t="s">
        <v>181</v>
      </c>
      <c r="AC15" s="26" t="s">
        <v>148</v>
      </c>
      <c r="AD15" s="51"/>
      <c r="AE15" s="24" t="s">
        <v>96</v>
      </c>
      <c r="AF15" s="24" t="str">
        <f t="shared" si="9"/>
        <v>PT Sentral Sari Jaya</v>
      </c>
      <c r="AG15" s="23" t="s">
        <v>98</v>
      </c>
      <c r="AH15" s="24" t="s">
        <v>90</v>
      </c>
      <c r="AI15" s="33">
        <v>45992</v>
      </c>
      <c r="AJ15" s="33">
        <v>46356</v>
      </c>
      <c r="AK15" s="34">
        <f t="shared" ca="1" si="8"/>
        <v>118</v>
      </c>
      <c r="AL15" s="4">
        <v>45880</v>
      </c>
      <c r="AM15" s="4">
        <v>45880</v>
      </c>
      <c r="AN15" s="24" t="s">
        <v>99</v>
      </c>
      <c r="AO15" s="24" t="s">
        <v>100</v>
      </c>
      <c r="AP15" s="24" t="s">
        <v>101</v>
      </c>
      <c r="AQ15" s="24">
        <v>30284899</v>
      </c>
      <c r="AR15" s="24">
        <v>30284899</v>
      </c>
      <c r="AS15" s="24" t="s">
        <v>102</v>
      </c>
      <c r="AT15" s="28" t="s">
        <v>244</v>
      </c>
      <c r="AU15" s="28" t="s">
        <v>244</v>
      </c>
      <c r="AV15" s="26" t="s">
        <v>104</v>
      </c>
      <c r="AW15" s="36" t="s">
        <v>105</v>
      </c>
      <c r="AX15" s="24" t="s">
        <v>106</v>
      </c>
      <c r="AY15" s="24" t="s">
        <v>107</v>
      </c>
      <c r="AZ15" s="28" t="s">
        <v>245</v>
      </c>
      <c r="BA15" s="24" t="s">
        <v>81</v>
      </c>
      <c r="BB15" s="7" t="s">
        <v>246</v>
      </c>
      <c r="BC15" s="26" t="s">
        <v>247</v>
      </c>
      <c r="BD15" s="26" t="s">
        <v>111</v>
      </c>
      <c r="BE15" s="26" t="s">
        <v>112</v>
      </c>
      <c r="BF15" s="26" t="s">
        <v>113</v>
      </c>
      <c r="BG15" s="26">
        <v>94762</v>
      </c>
      <c r="BH15" s="28" t="s">
        <v>248</v>
      </c>
      <c r="BI15" s="28" t="s">
        <v>249</v>
      </c>
      <c r="BJ15" s="28" t="s">
        <v>250</v>
      </c>
      <c r="BK15" s="26" t="str">
        <f t="shared" si="6"/>
        <v>25112805160</v>
      </c>
      <c r="BL15" s="28" t="s">
        <v>251</v>
      </c>
      <c r="BM15" s="26" t="s">
        <v>252</v>
      </c>
      <c r="BN15" s="26" t="s">
        <v>119</v>
      </c>
      <c r="BO15" s="37">
        <v>46181</v>
      </c>
      <c r="BP15" s="34">
        <f t="shared" ca="1" si="10"/>
        <v>308</v>
      </c>
      <c r="BQ15" s="10" t="s">
        <v>120</v>
      </c>
      <c r="BR15" s="10" t="s">
        <v>120</v>
      </c>
      <c r="BS15" s="44"/>
      <c r="BT15" s="20" t="s">
        <v>253</v>
      </c>
      <c r="BU15" s="44"/>
    </row>
    <row r="16" spans="1:73" ht="14.25" x14ac:dyDescent="0.45">
      <c r="A16" s="26">
        <v>10</v>
      </c>
      <c r="B16" s="26" t="s">
        <v>76</v>
      </c>
      <c r="C16" s="26" t="s">
        <v>77</v>
      </c>
      <c r="D16" s="28" t="s">
        <v>254</v>
      </c>
      <c r="E16" s="26">
        <v>1141300028</v>
      </c>
      <c r="F16" s="26" t="s">
        <v>255</v>
      </c>
      <c r="G16" s="24" t="s">
        <v>124</v>
      </c>
      <c r="H16" s="24" t="s">
        <v>81</v>
      </c>
      <c r="I16" s="24" t="s">
        <v>82</v>
      </c>
      <c r="J16" s="26" t="s">
        <v>83</v>
      </c>
      <c r="K16" s="26" t="s">
        <v>84</v>
      </c>
      <c r="L16" s="19" t="s">
        <v>85</v>
      </c>
      <c r="M16" s="24" t="s">
        <v>86</v>
      </c>
      <c r="N16" s="1" t="s">
        <v>85</v>
      </c>
      <c r="O16" s="24" t="s">
        <v>125</v>
      </c>
      <c r="P16" s="26" t="s">
        <v>256</v>
      </c>
      <c r="Q16" s="29">
        <v>34480</v>
      </c>
      <c r="R16" s="30">
        <f t="shared" ca="1" si="2"/>
        <v>32</v>
      </c>
      <c r="S16" s="31" t="str">
        <f t="shared" ca="1" si="7"/>
        <v xml:space="preserve">32 Tahun 2 Bulan 10 Hari </v>
      </c>
      <c r="T16" s="32">
        <f t="shared" ca="1" si="3"/>
        <v>8695</v>
      </c>
      <c r="U16" s="30" t="str">
        <f t="shared" ca="1" si="4"/>
        <v>31-35 Tahun</v>
      </c>
      <c r="V16" s="30" t="s">
        <v>89</v>
      </c>
      <c r="W16" s="24" t="s">
        <v>90</v>
      </c>
      <c r="X16" s="26" t="s">
        <v>91</v>
      </c>
      <c r="Y16" s="24" t="s">
        <v>2</v>
      </c>
      <c r="Z16" s="24" t="s">
        <v>179</v>
      </c>
      <c r="AA16" s="24" t="s">
        <v>257</v>
      </c>
      <c r="AB16" s="24" t="s">
        <v>258</v>
      </c>
      <c r="AC16" s="26" t="s">
        <v>130</v>
      </c>
      <c r="AD16" s="51"/>
      <c r="AE16" s="24" t="s">
        <v>96</v>
      </c>
      <c r="AF16" s="24" t="str">
        <f t="shared" si="9"/>
        <v>PT Sentral Sari Jaya</v>
      </c>
      <c r="AG16" s="23" t="s">
        <v>98</v>
      </c>
      <c r="AH16" s="24" t="s">
        <v>90</v>
      </c>
      <c r="AI16" s="33">
        <v>45992</v>
      </c>
      <c r="AJ16" s="33">
        <v>46356</v>
      </c>
      <c r="AK16" s="34">
        <f t="shared" ca="1" si="8"/>
        <v>118</v>
      </c>
      <c r="AL16" s="4">
        <v>41640</v>
      </c>
      <c r="AM16" s="35">
        <v>43132</v>
      </c>
      <c r="AN16" s="24" t="s">
        <v>99</v>
      </c>
      <c r="AO16" s="24" t="s">
        <v>100</v>
      </c>
      <c r="AP16" s="24" t="s">
        <v>101</v>
      </c>
      <c r="AQ16" s="24">
        <v>30284899</v>
      </c>
      <c r="AR16" s="24">
        <v>30284899</v>
      </c>
      <c r="AS16" s="24" t="s">
        <v>102</v>
      </c>
      <c r="AT16" s="23" t="s">
        <v>259</v>
      </c>
      <c r="AU16" s="8" t="str">
        <f>AT16</f>
        <v>7201042605940003</v>
      </c>
      <c r="AV16" s="24" t="s">
        <v>104</v>
      </c>
      <c r="AW16" s="36" t="s">
        <v>105</v>
      </c>
      <c r="AX16" s="24" t="s">
        <v>106</v>
      </c>
      <c r="AY16" s="24" t="s">
        <v>107</v>
      </c>
      <c r="AZ16" s="23" t="s">
        <v>260</v>
      </c>
      <c r="BA16" s="24" t="s">
        <v>261</v>
      </c>
      <c r="BB16" s="6" t="s">
        <v>262</v>
      </c>
      <c r="BC16" s="24" t="s">
        <v>263</v>
      </c>
      <c r="BD16" s="24" t="s">
        <v>161</v>
      </c>
      <c r="BE16" s="24" t="s">
        <v>112</v>
      </c>
      <c r="BF16" s="24" t="s">
        <v>113</v>
      </c>
      <c r="BG16" s="24" t="s">
        <v>81</v>
      </c>
      <c r="BH16" s="28" t="s">
        <v>264</v>
      </c>
      <c r="BI16" s="5" t="s">
        <v>265</v>
      </c>
      <c r="BJ16" s="28" t="s">
        <v>266</v>
      </c>
      <c r="BK16" s="5" t="str">
        <f>BI16</f>
        <v>22040703807</v>
      </c>
      <c r="BL16" s="28" t="s">
        <v>267</v>
      </c>
      <c r="BM16" s="26" t="s">
        <v>268</v>
      </c>
      <c r="BN16" s="26" t="s">
        <v>119</v>
      </c>
      <c r="BO16" s="37">
        <v>46043</v>
      </c>
      <c r="BP16" s="34">
        <f t="shared" ca="1" si="10"/>
        <v>170</v>
      </c>
      <c r="BQ16" s="10" t="s">
        <v>120</v>
      </c>
      <c r="BR16" s="10" t="s">
        <v>120</v>
      </c>
      <c r="BS16" s="44"/>
      <c r="BT16" s="20" t="s">
        <v>269</v>
      </c>
      <c r="BU16" s="44"/>
    </row>
    <row r="17" spans="1:72" ht="14.25" x14ac:dyDescent="0.45">
      <c r="A17" s="26">
        <v>11</v>
      </c>
      <c r="B17" s="26" t="s">
        <v>76</v>
      </c>
      <c r="C17" s="26" t="s">
        <v>77</v>
      </c>
      <c r="D17" s="28" t="s">
        <v>270</v>
      </c>
      <c r="E17" s="26">
        <v>1141300068</v>
      </c>
      <c r="F17" s="26" t="s">
        <v>271</v>
      </c>
      <c r="G17" s="24" t="s">
        <v>80</v>
      </c>
      <c r="H17" s="24" t="s">
        <v>81</v>
      </c>
      <c r="I17" s="24" t="s">
        <v>82</v>
      </c>
      <c r="J17" s="26" t="s">
        <v>83</v>
      </c>
      <c r="K17" s="26" t="s">
        <v>84</v>
      </c>
      <c r="L17" s="19" t="s">
        <v>85</v>
      </c>
      <c r="M17" s="24" t="s">
        <v>272</v>
      </c>
      <c r="N17" s="1" t="s">
        <v>85</v>
      </c>
      <c r="O17" s="24" t="s">
        <v>87</v>
      </c>
      <c r="P17" s="26" t="s">
        <v>161</v>
      </c>
      <c r="Q17" s="29">
        <v>37924</v>
      </c>
      <c r="R17" s="30">
        <f t="shared" ca="1" si="2"/>
        <v>22</v>
      </c>
      <c r="S17" s="31" t="str">
        <f t="shared" ca="1" si="7"/>
        <v xml:space="preserve">22 Tahun 9 Bulan 6 Hari </v>
      </c>
      <c r="T17" s="32">
        <f t="shared" ca="1" si="3"/>
        <v>12139</v>
      </c>
      <c r="U17" s="30" t="str">
        <f t="shared" ca="1" si="4"/>
        <v>21-25 Tahun</v>
      </c>
      <c r="V17" s="30" t="s">
        <v>89</v>
      </c>
      <c r="W17" s="24" t="s">
        <v>90</v>
      </c>
      <c r="X17" s="26" t="s">
        <v>91</v>
      </c>
      <c r="Y17" s="24" t="s">
        <v>2</v>
      </c>
      <c r="Z17" s="24" t="s">
        <v>92</v>
      </c>
      <c r="AA17" s="24" t="s">
        <v>93</v>
      </c>
      <c r="AB17" s="24" t="s">
        <v>94</v>
      </c>
      <c r="AC17" s="26" t="s">
        <v>95</v>
      </c>
      <c r="AD17" s="51"/>
      <c r="AE17" s="24" t="s">
        <v>96</v>
      </c>
      <c r="AF17" s="24" t="str">
        <f t="shared" si="9"/>
        <v>PT Sentral Sari Jaya</v>
      </c>
      <c r="AG17" s="23" t="s">
        <v>98</v>
      </c>
      <c r="AH17" s="24" t="s">
        <v>90</v>
      </c>
      <c r="AI17" s="33">
        <v>45992</v>
      </c>
      <c r="AJ17" s="33">
        <v>46356</v>
      </c>
      <c r="AK17" s="34">
        <f t="shared" ca="1" si="8"/>
        <v>118</v>
      </c>
      <c r="AL17" s="4">
        <v>41640</v>
      </c>
      <c r="AM17" s="35">
        <v>43374</v>
      </c>
      <c r="AN17" s="24" t="s">
        <v>99</v>
      </c>
      <c r="AO17" s="24" t="s">
        <v>100</v>
      </c>
      <c r="AP17" s="24" t="s">
        <v>101</v>
      </c>
      <c r="AQ17" s="24">
        <v>30284899</v>
      </c>
      <c r="AR17" s="24">
        <v>30284899</v>
      </c>
      <c r="AS17" s="24" t="s">
        <v>102</v>
      </c>
      <c r="AT17" s="23" t="s">
        <v>273</v>
      </c>
      <c r="AU17" s="8" t="str">
        <f>AT17</f>
        <v>7201013010030001</v>
      </c>
      <c r="AV17" s="24" t="s">
        <v>104</v>
      </c>
      <c r="AW17" s="36" t="s">
        <v>105</v>
      </c>
      <c r="AX17" s="24" t="s">
        <v>106</v>
      </c>
      <c r="AY17" s="24" t="s">
        <v>107</v>
      </c>
      <c r="AZ17" s="23" t="s">
        <v>274</v>
      </c>
      <c r="BA17" s="24" t="s">
        <v>275</v>
      </c>
      <c r="BB17" s="24"/>
      <c r="BC17" s="24" t="s">
        <v>276</v>
      </c>
      <c r="BD17" s="24" t="s">
        <v>111</v>
      </c>
      <c r="BE17" s="24" t="s">
        <v>112</v>
      </c>
      <c r="BF17" s="24" t="s">
        <v>113</v>
      </c>
      <c r="BG17" s="24" t="s">
        <v>81</v>
      </c>
      <c r="BH17" s="27" t="s">
        <v>277</v>
      </c>
      <c r="BI17" s="5" t="s">
        <v>278</v>
      </c>
      <c r="BJ17" s="28" t="s">
        <v>279</v>
      </c>
      <c r="BK17" s="5" t="str">
        <f>BI17</f>
        <v>23196240917</v>
      </c>
      <c r="BL17" s="26" t="s">
        <v>280</v>
      </c>
      <c r="BM17" s="26" t="s">
        <v>281</v>
      </c>
      <c r="BN17" s="26" t="s">
        <v>237</v>
      </c>
      <c r="BO17" s="37">
        <v>46181</v>
      </c>
      <c r="BP17" s="34">
        <f t="shared" ca="1" si="10"/>
        <v>308</v>
      </c>
      <c r="BQ17" s="10" t="s">
        <v>120</v>
      </c>
      <c r="BR17" s="10" t="s">
        <v>120</v>
      </c>
      <c r="BS17" s="44"/>
      <c r="BT17" s="20" t="s">
        <v>282</v>
      </c>
    </row>
    <row r="18" spans="1:72" ht="14.25" x14ac:dyDescent="0.45">
      <c r="A18" s="26">
        <v>12</v>
      </c>
      <c r="B18" s="26" t="s">
        <v>76</v>
      </c>
      <c r="C18" s="26" t="s">
        <v>77</v>
      </c>
      <c r="D18" s="28" t="s">
        <v>283</v>
      </c>
      <c r="E18" s="41"/>
      <c r="F18" s="26" t="s">
        <v>284</v>
      </c>
      <c r="G18" s="26" t="s">
        <v>145</v>
      </c>
      <c r="H18" s="26" t="s">
        <v>81</v>
      </c>
      <c r="I18" s="24" t="s">
        <v>82</v>
      </c>
      <c r="J18" s="26" t="s">
        <v>83</v>
      </c>
      <c r="K18" s="26" t="s">
        <v>84</v>
      </c>
      <c r="L18" s="19" t="s">
        <v>85</v>
      </c>
      <c r="M18" s="24" t="s">
        <v>272</v>
      </c>
      <c r="N18" s="1" t="s">
        <v>85</v>
      </c>
      <c r="O18" s="26" t="s">
        <v>125</v>
      </c>
      <c r="P18" s="39" t="s">
        <v>111</v>
      </c>
      <c r="Q18" s="40">
        <v>36597</v>
      </c>
      <c r="R18" s="30">
        <f t="shared" ca="1" si="2"/>
        <v>26</v>
      </c>
      <c r="S18" s="31" t="str">
        <f t="shared" ca="1" si="7"/>
        <v xml:space="preserve">26 Tahun 4 Bulan 24 Hari </v>
      </c>
      <c r="T18" s="32">
        <f t="shared" ca="1" si="3"/>
        <v>10812</v>
      </c>
      <c r="U18" s="30" t="str">
        <f t="shared" ca="1" si="4"/>
        <v>26-30 Tahun</v>
      </c>
      <c r="V18" s="30" t="s">
        <v>89</v>
      </c>
      <c r="W18" s="24" t="s">
        <v>90</v>
      </c>
      <c r="X18" s="26" t="s">
        <v>91</v>
      </c>
      <c r="Y18" s="24" t="s">
        <v>2</v>
      </c>
      <c r="Z18" s="26" t="s">
        <v>242</v>
      </c>
      <c r="AA18" s="26" t="s">
        <v>285</v>
      </c>
      <c r="AB18" s="26" t="s">
        <v>286</v>
      </c>
      <c r="AC18" s="26" t="s">
        <v>148</v>
      </c>
      <c r="AD18" s="51"/>
      <c r="AE18" s="24" t="s">
        <v>96</v>
      </c>
      <c r="AF18" s="24" t="str">
        <f t="shared" si="9"/>
        <v>PT Sentral Sari Jaya</v>
      </c>
      <c r="AG18" s="23" t="s">
        <v>98</v>
      </c>
      <c r="AH18" s="24" t="s">
        <v>90</v>
      </c>
      <c r="AI18" s="33">
        <v>45992</v>
      </c>
      <c r="AJ18" s="33">
        <v>46356</v>
      </c>
      <c r="AK18" s="34">
        <f t="shared" ca="1" si="8"/>
        <v>118</v>
      </c>
      <c r="AL18" s="4">
        <v>45880</v>
      </c>
      <c r="AM18" s="4">
        <v>45880</v>
      </c>
      <c r="AN18" s="24" t="s">
        <v>99</v>
      </c>
      <c r="AO18" s="24" t="s">
        <v>100</v>
      </c>
      <c r="AP18" s="24" t="s">
        <v>101</v>
      </c>
      <c r="AQ18" s="24">
        <v>30284899</v>
      </c>
      <c r="AR18" s="24">
        <v>30284899</v>
      </c>
      <c r="AS18" s="24" t="s">
        <v>102</v>
      </c>
      <c r="AT18" s="28" t="s">
        <v>287</v>
      </c>
      <c r="AU18" s="28" t="s">
        <v>287</v>
      </c>
      <c r="AV18" s="26" t="s">
        <v>288</v>
      </c>
      <c r="AW18" s="36" t="s">
        <v>289</v>
      </c>
      <c r="AX18" s="24" t="s">
        <v>106</v>
      </c>
      <c r="AY18" s="24" t="s">
        <v>107</v>
      </c>
      <c r="AZ18" s="28" t="s">
        <v>290</v>
      </c>
      <c r="BA18" s="52" t="s">
        <v>291</v>
      </c>
      <c r="BB18" s="42"/>
      <c r="BC18" s="26" t="s">
        <v>247</v>
      </c>
      <c r="BD18" s="26" t="s">
        <v>111</v>
      </c>
      <c r="BE18" s="26" t="s">
        <v>112</v>
      </c>
      <c r="BF18" s="26" t="s">
        <v>113</v>
      </c>
      <c r="BG18" s="26">
        <v>94762</v>
      </c>
      <c r="BH18" s="28" t="s">
        <v>292</v>
      </c>
      <c r="BI18" s="28" t="s">
        <v>293</v>
      </c>
      <c r="BJ18" s="28" t="s">
        <v>294</v>
      </c>
      <c r="BK18" s="26" t="str">
        <f t="shared" ref="BK18:BK58" si="11">BI18</f>
        <v>25112805152</v>
      </c>
      <c r="BL18" s="28" t="s">
        <v>295</v>
      </c>
      <c r="BM18" s="26" t="s">
        <v>296</v>
      </c>
      <c r="BN18" s="26" t="s">
        <v>237</v>
      </c>
      <c r="BO18" s="37">
        <v>46190</v>
      </c>
      <c r="BP18" s="34">
        <f t="shared" ca="1" si="10"/>
        <v>317</v>
      </c>
      <c r="BQ18" s="10" t="s">
        <v>120</v>
      </c>
      <c r="BR18" s="10" t="s">
        <v>120</v>
      </c>
      <c r="BS18" s="44"/>
      <c r="BT18" s="20" t="s">
        <v>297</v>
      </c>
    </row>
    <row r="19" spans="1:72" ht="14.25" x14ac:dyDescent="0.45">
      <c r="A19" s="26">
        <v>13</v>
      </c>
      <c r="B19" s="26" t="s">
        <v>76</v>
      </c>
      <c r="C19" s="26" t="s">
        <v>77</v>
      </c>
      <c r="D19" s="28" t="s">
        <v>298</v>
      </c>
      <c r="E19" s="26">
        <v>1141300023</v>
      </c>
      <c r="F19" s="26" t="s">
        <v>299</v>
      </c>
      <c r="G19" s="24" t="s">
        <v>145</v>
      </c>
      <c r="H19" s="24" t="s">
        <v>81</v>
      </c>
      <c r="I19" s="24" t="s">
        <v>82</v>
      </c>
      <c r="J19" s="26" t="s">
        <v>83</v>
      </c>
      <c r="K19" s="26" t="s">
        <v>84</v>
      </c>
      <c r="L19" s="19" t="s">
        <v>85</v>
      </c>
      <c r="M19" s="24" t="s">
        <v>272</v>
      </c>
      <c r="N19" s="1" t="s">
        <v>85</v>
      </c>
      <c r="O19" s="24" t="s">
        <v>125</v>
      </c>
      <c r="P19" s="26" t="s">
        <v>146</v>
      </c>
      <c r="Q19" s="29">
        <v>28561</v>
      </c>
      <c r="R19" s="30">
        <f t="shared" ca="1" si="2"/>
        <v>48</v>
      </c>
      <c r="S19" s="31" t="str">
        <f t="shared" ca="1" si="7"/>
        <v xml:space="preserve">48 Tahun 4 Bulan 24 Hari </v>
      </c>
      <c r="T19" s="32">
        <f t="shared" ca="1" si="3"/>
        <v>2776</v>
      </c>
      <c r="U19" s="30" t="str">
        <f t="shared" ca="1" si="4"/>
        <v>46-50 Tahun</v>
      </c>
      <c r="V19" s="30" t="s">
        <v>89</v>
      </c>
      <c r="W19" s="24" t="s">
        <v>90</v>
      </c>
      <c r="X19" s="26" t="s">
        <v>91</v>
      </c>
      <c r="Y19" s="24" t="s">
        <v>2</v>
      </c>
      <c r="Z19" s="24" t="s">
        <v>92</v>
      </c>
      <c r="AA19" s="24" t="s">
        <v>93</v>
      </c>
      <c r="AB19" s="24" t="s">
        <v>300</v>
      </c>
      <c r="AC19" s="26" t="s">
        <v>148</v>
      </c>
      <c r="AD19" s="51"/>
      <c r="AE19" s="24" t="s">
        <v>96</v>
      </c>
      <c r="AF19" s="24" t="str">
        <f t="shared" si="9"/>
        <v>PT Sentral Sari Jaya</v>
      </c>
      <c r="AG19" s="23" t="s">
        <v>98</v>
      </c>
      <c r="AH19" s="24" t="s">
        <v>90</v>
      </c>
      <c r="AI19" s="33">
        <v>45992</v>
      </c>
      <c r="AJ19" s="33">
        <v>46356</v>
      </c>
      <c r="AK19" s="34">
        <f t="shared" ca="1" si="8"/>
        <v>118</v>
      </c>
      <c r="AL19" s="4">
        <v>41640</v>
      </c>
      <c r="AM19" s="35">
        <v>43770</v>
      </c>
      <c r="AN19" s="24" t="s">
        <v>99</v>
      </c>
      <c r="AO19" s="24" t="s">
        <v>100</v>
      </c>
      <c r="AP19" s="24" t="s">
        <v>101</v>
      </c>
      <c r="AQ19" s="24">
        <v>30284899</v>
      </c>
      <c r="AR19" s="24">
        <v>30284899</v>
      </c>
      <c r="AS19" s="24" t="s">
        <v>102</v>
      </c>
      <c r="AT19" s="23" t="s">
        <v>301</v>
      </c>
      <c r="AU19" s="8" t="str">
        <f t="shared" ref="AU19:AU58" si="12">AT19</f>
        <v>7201011203780001</v>
      </c>
      <c r="AV19" s="24" t="s">
        <v>104</v>
      </c>
      <c r="AW19" s="36" t="s">
        <v>183</v>
      </c>
      <c r="AX19" s="24" t="s">
        <v>106</v>
      </c>
      <c r="AY19" s="24" t="s">
        <v>107</v>
      </c>
      <c r="AZ19" s="23" t="s">
        <v>302</v>
      </c>
      <c r="BA19" s="52" t="s">
        <v>303</v>
      </c>
      <c r="BB19" s="24"/>
      <c r="BC19" s="24" t="s">
        <v>304</v>
      </c>
      <c r="BD19" s="24" t="s">
        <v>111</v>
      </c>
      <c r="BE19" s="24" t="s">
        <v>112</v>
      </c>
      <c r="BF19" s="24" t="s">
        <v>113</v>
      </c>
      <c r="BG19" s="24" t="s">
        <v>81</v>
      </c>
      <c r="BH19" s="27" t="s">
        <v>305</v>
      </c>
      <c r="BI19" s="5" t="s">
        <v>306</v>
      </c>
      <c r="BJ19" s="28" t="s">
        <v>307</v>
      </c>
      <c r="BK19" s="5" t="str">
        <f t="shared" si="11"/>
        <v>22040703955</v>
      </c>
      <c r="BL19" s="26" t="s">
        <v>308</v>
      </c>
      <c r="BM19" s="26" t="s">
        <v>309</v>
      </c>
      <c r="BN19" s="26" t="s">
        <v>310</v>
      </c>
      <c r="BO19" s="37">
        <v>46043</v>
      </c>
      <c r="BP19" s="34">
        <f t="shared" ca="1" si="10"/>
        <v>170</v>
      </c>
      <c r="BQ19" s="10" t="s">
        <v>120</v>
      </c>
      <c r="BR19" s="10" t="s">
        <v>120</v>
      </c>
      <c r="BS19" s="44"/>
      <c r="BT19" s="20" t="s">
        <v>311</v>
      </c>
    </row>
    <row r="20" spans="1:72" ht="14.25" x14ac:dyDescent="0.45">
      <c r="A20" s="26">
        <v>14</v>
      </c>
      <c r="B20" s="26" t="s">
        <v>76</v>
      </c>
      <c r="C20" s="26" t="s">
        <v>77</v>
      </c>
      <c r="D20" s="28" t="s">
        <v>312</v>
      </c>
      <c r="E20" s="28">
        <v>1141300014</v>
      </c>
      <c r="F20" s="26" t="s">
        <v>313</v>
      </c>
      <c r="G20" s="24" t="s">
        <v>145</v>
      </c>
      <c r="H20" s="24" t="s">
        <v>81</v>
      </c>
      <c r="I20" s="24" t="s">
        <v>82</v>
      </c>
      <c r="J20" s="26" t="s">
        <v>83</v>
      </c>
      <c r="K20" s="26" t="s">
        <v>84</v>
      </c>
      <c r="L20" s="19" t="s">
        <v>85</v>
      </c>
      <c r="M20" s="24" t="s">
        <v>272</v>
      </c>
      <c r="N20" s="1" t="s">
        <v>85</v>
      </c>
      <c r="O20" s="24" t="s">
        <v>125</v>
      </c>
      <c r="P20" s="26" t="s">
        <v>111</v>
      </c>
      <c r="Q20" s="29">
        <v>31519</v>
      </c>
      <c r="R20" s="30">
        <f t="shared" ca="1" si="2"/>
        <v>40</v>
      </c>
      <c r="S20" s="31" t="str">
        <f t="shared" ca="1" si="7"/>
        <v xml:space="preserve">40 Tahun 3 Bulan 19 Hari </v>
      </c>
      <c r="T20" s="32">
        <f t="shared" ca="1" si="3"/>
        <v>5734</v>
      </c>
      <c r="U20" s="30" t="str">
        <f t="shared" ca="1" si="4"/>
        <v>36-40 Tahun</v>
      </c>
      <c r="V20" s="30" t="s">
        <v>89</v>
      </c>
      <c r="W20" s="24" t="s">
        <v>90</v>
      </c>
      <c r="X20" s="26" t="s">
        <v>91</v>
      </c>
      <c r="Y20" s="24" t="s">
        <v>2</v>
      </c>
      <c r="Z20" s="24" t="s">
        <v>179</v>
      </c>
      <c r="AA20" s="24" t="s">
        <v>257</v>
      </c>
      <c r="AB20" s="24" t="s">
        <v>181</v>
      </c>
      <c r="AC20" s="26" t="s">
        <v>148</v>
      </c>
      <c r="AD20" s="51"/>
      <c r="AE20" s="24" t="s">
        <v>96</v>
      </c>
      <c r="AF20" s="24" t="str">
        <f t="shared" si="9"/>
        <v>PT Sentral Sari Jaya</v>
      </c>
      <c r="AG20" s="23" t="s">
        <v>98</v>
      </c>
      <c r="AH20" s="24" t="s">
        <v>90</v>
      </c>
      <c r="AI20" s="33">
        <v>45992</v>
      </c>
      <c r="AJ20" s="33">
        <v>46356</v>
      </c>
      <c r="AK20" s="34">
        <f t="shared" ca="1" si="8"/>
        <v>118</v>
      </c>
      <c r="AL20" s="4">
        <v>41640</v>
      </c>
      <c r="AM20" s="35">
        <v>43800</v>
      </c>
      <c r="AN20" s="24" t="s">
        <v>99</v>
      </c>
      <c r="AO20" s="24" t="s">
        <v>100</v>
      </c>
      <c r="AP20" s="24" t="s">
        <v>101</v>
      </c>
      <c r="AQ20" s="24">
        <v>30284899</v>
      </c>
      <c r="AR20" s="24">
        <v>30284899</v>
      </c>
      <c r="AS20" s="24" t="s">
        <v>102</v>
      </c>
      <c r="AT20" s="23" t="s">
        <v>314</v>
      </c>
      <c r="AU20" s="8" t="str">
        <f t="shared" si="12"/>
        <v>7201011704860011</v>
      </c>
      <c r="AV20" s="24" t="s">
        <v>104</v>
      </c>
      <c r="AW20" s="36" t="s">
        <v>165</v>
      </c>
      <c r="AX20" s="24" t="s">
        <v>106</v>
      </c>
      <c r="AY20" s="24" t="s">
        <v>107</v>
      </c>
      <c r="AZ20" s="23" t="s">
        <v>315</v>
      </c>
      <c r="BA20" s="24" t="s">
        <v>316</v>
      </c>
      <c r="BB20" s="24"/>
      <c r="BC20" s="24" t="s">
        <v>317</v>
      </c>
      <c r="BD20" s="24" t="s">
        <v>111</v>
      </c>
      <c r="BE20" s="24" t="s">
        <v>112</v>
      </c>
      <c r="BF20" s="24" t="s">
        <v>113</v>
      </c>
      <c r="BG20" s="24" t="s">
        <v>81</v>
      </c>
      <c r="BH20" s="27" t="s">
        <v>318</v>
      </c>
      <c r="BI20" s="5" t="s">
        <v>319</v>
      </c>
      <c r="BJ20" s="28" t="s">
        <v>320</v>
      </c>
      <c r="BK20" s="5" t="str">
        <f t="shared" si="11"/>
        <v>22040703815</v>
      </c>
      <c r="BL20" s="26" t="s">
        <v>321</v>
      </c>
      <c r="BM20" s="26" t="s">
        <v>322</v>
      </c>
      <c r="BN20" s="26" t="s">
        <v>119</v>
      </c>
      <c r="BO20" s="37">
        <v>46190</v>
      </c>
      <c r="BP20" s="34">
        <f t="shared" ca="1" si="10"/>
        <v>317</v>
      </c>
      <c r="BQ20" s="10" t="s">
        <v>120</v>
      </c>
      <c r="BR20" s="10" t="s">
        <v>120</v>
      </c>
      <c r="BS20" s="44"/>
      <c r="BT20" s="20" t="s">
        <v>323</v>
      </c>
    </row>
    <row r="21" spans="1:72" ht="14.25" x14ac:dyDescent="0.45">
      <c r="A21" s="26">
        <v>15</v>
      </c>
      <c r="B21" s="26" t="s">
        <v>76</v>
      </c>
      <c r="C21" s="26" t="s">
        <v>77</v>
      </c>
      <c r="D21" s="28" t="s">
        <v>324</v>
      </c>
      <c r="E21" s="28">
        <v>1141300015</v>
      </c>
      <c r="F21" s="26" t="s">
        <v>325</v>
      </c>
      <c r="G21" s="24" t="s">
        <v>124</v>
      </c>
      <c r="H21" s="24" t="s">
        <v>81</v>
      </c>
      <c r="I21" s="24" t="s">
        <v>82</v>
      </c>
      <c r="J21" s="26" t="s">
        <v>83</v>
      </c>
      <c r="K21" s="26" t="s">
        <v>84</v>
      </c>
      <c r="L21" s="19" t="s">
        <v>85</v>
      </c>
      <c r="M21" s="24" t="s">
        <v>86</v>
      </c>
      <c r="N21" s="1" t="s">
        <v>85</v>
      </c>
      <c r="O21" s="24" t="s">
        <v>125</v>
      </c>
      <c r="P21" s="26" t="s">
        <v>326</v>
      </c>
      <c r="Q21" s="29">
        <v>34410</v>
      </c>
      <c r="R21" s="30">
        <f t="shared" ca="1" si="2"/>
        <v>32</v>
      </c>
      <c r="S21" s="31" t="str">
        <f t="shared" ca="1" si="7"/>
        <v xml:space="preserve">32 Tahun 4 Bulan 19 Hari </v>
      </c>
      <c r="T21" s="32">
        <f t="shared" ca="1" si="3"/>
        <v>8625</v>
      </c>
      <c r="U21" s="30" t="str">
        <f t="shared" ca="1" si="4"/>
        <v>31-35 Tahun</v>
      </c>
      <c r="V21" s="30" t="s">
        <v>89</v>
      </c>
      <c r="W21" s="24" t="s">
        <v>90</v>
      </c>
      <c r="X21" s="26" t="s">
        <v>91</v>
      </c>
      <c r="Y21" s="24" t="s">
        <v>2</v>
      </c>
      <c r="Z21" s="24" t="s">
        <v>92</v>
      </c>
      <c r="AA21" s="24" t="s">
        <v>93</v>
      </c>
      <c r="AB21" s="24" t="s">
        <v>327</v>
      </c>
      <c r="AC21" s="26" t="s">
        <v>130</v>
      </c>
      <c r="AD21" s="51"/>
      <c r="AE21" s="24" t="s">
        <v>96</v>
      </c>
      <c r="AF21" s="24" t="str">
        <f t="shared" si="9"/>
        <v>PT Sentral Sari Jaya</v>
      </c>
      <c r="AG21" s="23" t="s">
        <v>98</v>
      </c>
      <c r="AH21" s="24" t="s">
        <v>90</v>
      </c>
      <c r="AI21" s="33">
        <v>45992</v>
      </c>
      <c r="AJ21" s="33">
        <v>46356</v>
      </c>
      <c r="AK21" s="34">
        <f t="shared" ca="1" si="8"/>
        <v>118</v>
      </c>
      <c r="AL21" s="4">
        <v>41640</v>
      </c>
      <c r="AM21" s="35">
        <v>43800</v>
      </c>
      <c r="AN21" s="24" t="s">
        <v>99</v>
      </c>
      <c r="AO21" s="24" t="s">
        <v>100</v>
      </c>
      <c r="AP21" s="24" t="s">
        <v>101</v>
      </c>
      <c r="AQ21" s="24">
        <v>30284899</v>
      </c>
      <c r="AR21" s="24">
        <v>30284899</v>
      </c>
      <c r="AS21" s="24" t="s">
        <v>102</v>
      </c>
      <c r="AT21" s="23" t="s">
        <v>328</v>
      </c>
      <c r="AU21" s="8" t="str">
        <f t="shared" si="12"/>
        <v>7405051703940001</v>
      </c>
      <c r="AV21" s="24" t="s">
        <v>288</v>
      </c>
      <c r="AW21" s="36" t="s">
        <v>289</v>
      </c>
      <c r="AX21" s="24" t="s">
        <v>106</v>
      </c>
      <c r="AY21" s="24" t="s">
        <v>107</v>
      </c>
      <c r="AZ21" s="23" t="s">
        <v>329</v>
      </c>
      <c r="BA21" s="24" t="s">
        <v>330</v>
      </c>
      <c r="BB21" s="6" t="s">
        <v>331</v>
      </c>
      <c r="BC21" s="24" t="s">
        <v>332</v>
      </c>
      <c r="BD21" s="24" t="s">
        <v>111</v>
      </c>
      <c r="BE21" s="24" t="s">
        <v>112</v>
      </c>
      <c r="BF21" s="24" t="s">
        <v>113</v>
      </c>
      <c r="BG21" s="24" t="s">
        <v>81</v>
      </c>
      <c r="BH21" s="28" t="s">
        <v>333</v>
      </c>
      <c r="BI21" s="5" t="s">
        <v>334</v>
      </c>
      <c r="BJ21" s="28" t="s">
        <v>335</v>
      </c>
      <c r="BK21" s="5" t="str">
        <f t="shared" si="11"/>
        <v>22040703906</v>
      </c>
      <c r="BL21" s="28" t="s">
        <v>336</v>
      </c>
      <c r="BM21" s="28" t="s">
        <v>337</v>
      </c>
      <c r="BN21" s="28" t="s">
        <v>338</v>
      </c>
      <c r="BO21" s="37">
        <v>46050</v>
      </c>
      <c r="BP21" s="34">
        <f t="shared" ca="1" si="10"/>
        <v>177</v>
      </c>
      <c r="BQ21" s="10" t="s">
        <v>120</v>
      </c>
      <c r="BR21" s="10" t="s">
        <v>120</v>
      </c>
      <c r="BS21" s="44"/>
      <c r="BT21" s="20" t="s">
        <v>339</v>
      </c>
    </row>
    <row r="22" spans="1:72" ht="14.25" x14ac:dyDescent="0.45">
      <c r="A22" s="26">
        <v>16</v>
      </c>
      <c r="B22" s="26" t="s">
        <v>76</v>
      </c>
      <c r="C22" s="26" t="s">
        <v>77</v>
      </c>
      <c r="D22" s="28" t="s">
        <v>340</v>
      </c>
      <c r="E22" s="26">
        <v>1141300015</v>
      </c>
      <c r="F22" s="26" t="s">
        <v>341</v>
      </c>
      <c r="G22" s="24" t="s">
        <v>80</v>
      </c>
      <c r="H22" s="24" t="s">
        <v>81</v>
      </c>
      <c r="I22" s="24" t="s">
        <v>82</v>
      </c>
      <c r="J22" s="26" t="s">
        <v>342</v>
      </c>
      <c r="K22" s="26" t="s">
        <v>84</v>
      </c>
      <c r="L22" s="19" t="s">
        <v>85</v>
      </c>
      <c r="M22" s="24" t="s">
        <v>86</v>
      </c>
      <c r="N22" s="1" t="s">
        <v>85</v>
      </c>
      <c r="O22" s="24" t="s">
        <v>87</v>
      </c>
      <c r="P22" s="26" t="s">
        <v>343</v>
      </c>
      <c r="Q22" s="29">
        <v>30625</v>
      </c>
      <c r="R22" s="30">
        <f t="shared" ca="1" si="2"/>
        <v>42</v>
      </c>
      <c r="S22" s="31" t="str">
        <f t="shared" ca="1" si="7"/>
        <v xml:space="preserve">42 Tahun 9 Bulan 0 Hari </v>
      </c>
      <c r="T22" s="32">
        <f t="shared" ca="1" si="3"/>
        <v>4840</v>
      </c>
      <c r="U22" s="30" t="str">
        <f t="shared" ca="1" si="4"/>
        <v>41-45 Tahun</v>
      </c>
      <c r="V22" s="30" t="s">
        <v>89</v>
      </c>
      <c r="W22" s="24" t="s">
        <v>90</v>
      </c>
      <c r="X22" s="26" t="s">
        <v>91</v>
      </c>
      <c r="Y22" s="24" t="s">
        <v>2</v>
      </c>
      <c r="Z22" s="24" t="s">
        <v>92</v>
      </c>
      <c r="AA22" s="24" t="s">
        <v>147</v>
      </c>
      <c r="AB22" s="24" t="s">
        <v>147</v>
      </c>
      <c r="AC22" s="26" t="s">
        <v>95</v>
      </c>
      <c r="AD22" s="51"/>
      <c r="AE22" s="24" t="s">
        <v>96</v>
      </c>
      <c r="AF22" s="24" t="str">
        <f t="shared" si="9"/>
        <v>PT Sentral Sari Jaya</v>
      </c>
      <c r="AG22" s="23" t="s">
        <v>98</v>
      </c>
      <c r="AH22" s="24" t="s">
        <v>90</v>
      </c>
      <c r="AI22" s="33">
        <v>45992</v>
      </c>
      <c r="AJ22" s="33">
        <v>46356</v>
      </c>
      <c r="AK22" s="34">
        <f t="shared" ca="1" si="8"/>
        <v>118</v>
      </c>
      <c r="AL22" s="4">
        <v>41640</v>
      </c>
      <c r="AM22" s="35">
        <v>42644</v>
      </c>
      <c r="AN22" s="24" t="s">
        <v>99</v>
      </c>
      <c r="AO22" s="24" t="s">
        <v>100</v>
      </c>
      <c r="AP22" s="24" t="s">
        <v>101</v>
      </c>
      <c r="AQ22" s="24">
        <v>30284899</v>
      </c>
      <c r="AR22" s="24">
        <v>30284899</v>
      </c>
      <c r="AS22" s="24" t="s">
        <v>102</v>
      </c>
      <c r="AT22" s="23" t="s">
        <v>344</v>
      </c>
      <c r="AU22" s="8" t="str">
        <f t="shared" si="12"/>
        <v>7201090511830002</v>
      </c>
      <c r="AV22" s="24" t="s">
        <v>104</v>
      </c>
      <c r="AW22" s="36" t="s">
        <v>165</v>
      </c>
      <c r="AX22" s="24" t="s">
        <v>106</v>
      </c>
      <c r="AY22" s="24" t="s">
        <v>107</v>
      </c>
      <c r="AZ22" s="23" t="s">
        <v>345</v>
      </c>
      <c r="BA22" s="24" t="s">
        <v>346</v>
      </c>
      <c r="BB22" s="24"/>
      <c r="BC22" s="24" t="s">
        <v>347</v>
      </c>
      <c r="BD22" s="24" t="s">
        <v>343</v>
      </c>
      <c r="BE22" s="24" t="s">
        <v>112</v>
      </c>
      <c r="BF22" s="24" t="s">
        <v>113</v>
      </c>
      <c r="BG22" s="24" t="s">
        <v>81</v>
      </c>
      <c r="BH22" s="27" t="s">
        <v>348</v>
      </c>
      <c r="BI22" s="5" t="s">
        <v>349</v>
      </c>
      <c r="BJ22" s="28" t="s">
        <v>350</v>
      </c>
      <c r="BK22" s="5" t="str">
        <f t="shared" si="11"/>
        <v>22006491678</v>
      </c>
      <c r="BL22" s="26" t="s">
        <v>351</v>
      </c>
      <c r="BM22" s="26" t="s">
        <v>352</v>
      </c>
      <c r="BN22" s="26" t="s">
        <v>119</v>
      </c>
      <c r="BO22" s="37">
        <v>46183</v>
      </c>
      <c r="BP22" s="34">
        <f t="shared" ca="1" si="10"/>
        <v>310</v>
      </c>
      <c r="BQ22" s="10" t="s">
        <v>120</v>
      </c>
      <c r="BR22" s="10" t="s">
        <v>120</v>
      </c>
      <c r="BS22" s="44"/>
      <c r="BT22" s="20" t="s">
        <v>353</v>
      </c>
    </row>
    <row r="23" spans="1:72" ht="14.25" x14ac:dyDescent="0.45">
      <c r="A23" s="26">
        <v>17</v>
      </c>
      <c r="B23" s="26" t="s">
        <v>76</v>
      </c>
      <c r="C23" s="26" t="s">
        <v>77</v>
      </c>
      <c r="D23" s="28" t="s">
        <v>354</v>
      </c>
      <c r="E23" s="26">
        <v>1141300072</v>
      </c>
      <c r="F23" s="26" t="s">
        <v>355</v>
      </c>
      <c r="G23" s="24" t="s">
        <v>356</v>
      </c>
      <c r="H23" s="24" t="s">
        <v>81</v>
      </c>
      <c r="I23" s="24" t="s">
        <v>82</v>
      </c>
      <c r="J23" s="26" t="s">
        <v>83</v>
      </c>
      <c r="K23" s="26" t="s">
        <v>84</v>
      </c>
      <c r="L23" s="19" t="s">
        <v>357</v>
      </c>
      <c r="M23" s="24" t="s">
        <v>358</v>
      </c>
      <c r="N23" s="1" t="s">
        <v>357</v>
      </c>
      <c r="O23" s="24" t="s">
        <v>87</v>
      </c>
      <c r="P23" s="26" t="s">
        <v>111</v>
      </c>
      <c r="Q23" s="29">
        <v>34703</v>
      </c>
      <c r="R23" s="30">
        <f t="shared" ca="1" si="2"/>
        <v>31</v>
      </c>
      <c r="S23" s="31" t="str">
        <f t="shared" ca="1" si="7"/>
        <v xml:space="preserve">31 Tahun 7 Bulan 1 Hari </v>
      </c>
      <c r="T23" s="32">
        <f t="shared" ca="1" si="3"/>
        <v>8918</v>
      </c>
      <c r="U23" s="30" t="str">
        <f t="shared" ca="1" si="4"/>
        <v>31-35 Tahun</v>
      </c>
      <c r="V23" s="30" t="s">
        <v>89</v>
      </c>
      <c r="W23" s="24" t="s">
        <v>90</v>
      </c>
      <c r="X23" s="26" t="s">
        <v>91</v>
      </c>
      <c r="Y23" s="24" t="s">
        <v>4</v>
      </c>
      <c r="Z23" s="24" t="s">
        <v>92</v>
      </c>
      <c r="AA23" s="24" t="s">
        <v>359</v>
      </c>
      <c r="AB23" s="24" t="s">
        <v>360</v>
      </c>
      <c r="AC23" s="26" t="s">
        <v>130</v>
      </c>
      <c r="AD23" s="51"/>
      <c r="AE23" s="24" t="s">
        <v>96</v>
      </c>
      <c r="AF23" s="24" t="str">
        <f t="shared" si="9"/>
        <v>PT Sentral Sari Jaya</v>
      </c>
      <c r="AG23" s="23" t="s">
        <v>98</v>
      </c>
      <c r="AH23" s="24" t="s">
        <v>90</v>
      </c>
      <c r="AI23" s="33">
        <v>45992</v>
      </c>
      <c r="AJ23" s="33">
        <v>46356</v>
      </c>
      <c r="AK23" s="34">
        <f t="shared" ca="1" si="8"/>
        <v>118</v>
      </c>
      <c r="AL23" s="4">
        <v>41640</v>
      </c>
      <c r="AM23" s="35">
        <v>42644</v>
      </c>
      <c r="AN23" s="24" t="s">
        <v>99</v>
      </c>
      <c r="AO23" s="24" t="s">
        <v>100</v>
      </c>
      <c r="AP23" s="24" t="s">
        <v>361</v>
      </c>
      <c r="AQ23" s="26">
        <v>30285748</v>
      </c>
      <c r="AR23" s="42" t="s">
        <v>81</v>
      </c>
      <c r="AS23" s="26" t="s">
        <v>362</v>
      </c>
      <c r="AT23" s="23" t="s">
        <v>363</v>
      </c>
      <c r="AU23" s="8" t="str">
        <f t="shared" si="12"/>
        <v>7201010401950002</v>
      </c>
      <c r="AV23" s="24" t="s">
        <v>104</v>
      </c>
      <c r="AW23" s="36" t="s">
        <v>165</v>
      </c>
      <c r="AX23" s="24" t="s">
        <v>106</v>
      </c>
      <c r="AY23" s="24" t="s">
        <v>107</v>
      </c>
      <c r="AZ23" s="23" t="s">
        <v>364</v>
      </c>
      <c r="BA23" s="24" t="s">
        <v>81</v>
      </c>
      <c r="BB23" s="6" t="s">
        <v>365</v>
      </c>
      <c r="BC23" s="24" t="s">
        <v>231</v>
      </c>
      <c r="BD23" s="24" t="s">
        <v>111</v>
      </c>
      <c r="BE23" s="24" t="s">
        <v>112</v>
      </c>
      <c r="BF23" s="24" t="s">
        <v>113</v>
      </c>
      <c r="BG23" s="24" t="s">
        <v>81</v>
      </c>
      <c r="BH23" s="28" t="s">
        <v>366</v>
      </c>
      <c r="BI23" s="5" t="s">
        <v>367</v>
      </c>
      <c r="BJ23" s="28" t="s">
        <v>368</v>
      </c>
      <c r="BK23" s="5" t="str">
        <f t="shared" si="11"/>
        <v>22006491652</v>
      </c>
      <c r="BL23" s="26" t="s">
        <v>369</v>
      </c>
      <c r="BM23" s="26" t="s">
        <v>370</v>
      </c>
      <c r="BN23" s="26" t="s">
        <v>371</v>
      </c>
      <c r="BO23" s="37">
        <v>46048</v>
      </c>
      <c r="BP23" s="34">
        <f t="shared" ca="1" si="10"/>
        <v>175</v>
      </c>
      <c r="BQ23" s="10" t="s">
        <v>120</v>
      </c>
      <c r="BR23" s="10" t="s">
        <v>120</v>
      </c>
      <c r="BS23" s="44"/>
      <c r="BT23" s="20" t="s">
        <v>372</v>
      </c>
    </row>
    <row r="24" spans="1:72" ht="14.25" x14ac:dyDescent="0.45">
      <c r="A24" s="26">
        <v>18</v>
      </c>
      <c r="B24" s="26" t="s">
        <v>76</v>
      </c>
      <c r="C24" s="26" t="s">
        <v>77</v>
      </c>
      <c r="D24" s="28" t="s">
        <v>373</v>
      </c>
      <c r="E24" s="26">
        <v>1141300005</v>
      </c>
      <c r="F24" s="26" t="s">
        <v>374</v>
      </c>
      <c r="G24" s="24" t="s">
        <v>375</v>
      </c>
      <c r="H24" s="24" t="s">
        <v>81</v>
      </c>
      <c r="I24" s="24" t="s">
        <v>82</v>
      </c>
      <c r="J24" s="26" t="s">
        <v>83</v>
      </c>
      <c r="K24" s="26" t="s">
        <v>84</v>
      </c>
      <c r="L24" s="19" t="s">
        <v>357</v>
      </c>
      <c r="M24" s="24" t="s">
        <v>272</v>
      </c>
      <c r="N24" s="1" t="s">
        <v>357</v>
      </c>
      <c r="O24" s="24" t="s">
        <v>87</v>
      </c>
      <c r="P24" s="26" t="s">
        <v>376</v>
      </c>
      <c r="Q24" s="29">
        <v>27791</v>
      </c>
      <c r="R24" s="30">
        <f t="shared" ca="1" si="2"/>
        <v>50</v>
      </c>
      <c r="S24" s="31" t="str">
        <f t="shared" ca="1" si="7"/>
        <v xml:space="preserve">50 Tahun 6 Bulan 4 Hari </v>
      </c>
      <c r="T24" s="32">
        <f t="shared" ca="1" si="3"/>
        <v>2006</v>
      </c>
      <c r="U24" s="30" t="str">
        <f t="shared" ca="1" si="4"/>
        <v>46-50 Tahun</v>
      </c>
      <c r="V24" s="30" t="s">
        <v>89</v>
      </c>
      <c r="W24" s="24" t="s">
        <v>90</v>
      </c>
      <c r="X24" s="26" t="s">
        <v>91</v>
      </c>
      <c r="Y24" s="24" t="s">
        <v>4</v>
      </c>
      <c r="Z24" s="24" t="s">
        <v>92</v>
      </c>
      <c r="AA24" s="24" t="s">
        <v>162</v>
      </c>
      <c r="AB24" s="24" t="s">
        <v>377</v>
      </c>
      <c r="AC24" s="26" t="s">
        <v>148</v>
      </c>
      <c r="AD24" s="51"/>
      <c r="AE24" s="24" t="s">
        <v>96</v>
      </c>
      <c r="AF24" s="24" t="str">
        <f t="shared" si="9"/>
        <v>PT Sentral Sari Jaya</v>
      </c>
      <c r="AG24" s="23" t="s">
        <v>98</v>
      </c>
      <c r="AH24" s="24" t="s">
        <v>90</v>
      </c>
      <c r="AI24" s="33">
        <v>45992</v>
      </c>
      <c r="AJ24" s="33">
        <v>46356</v>
      </c>
      <c r="AK24" s="34">
        <f t="shared" ca="1" si="8"/>
        <v>118</v>
      </c>
      <c r="AL24" s="4">
        <v>41640</v>
      </c>
      <c r="AM24" s="35">
        <v>44470</v>
      </c>
      <c r="AN24" s="24" t="s">
        <v>99</v>
      </c>
      <c r="AO24" s="24" t="s">
        <v>100</v>
      </c>
      <c r="AP24" s="24" t="s">
        <v>361</v>
      </c>
      <c r="AQ24" s="26">
        <v>30285748</v>
      </c>
      <c r="AR24" s="42" t="s">
        <v>81</v>
      </c>
      <c r="AS24" s="26" t="s">
        <v>362</v>
      </c>
      <c r="AT24" s="23" t="s">
        <v>378</v>
      </c>
      <c r="AU24" s="8" t="str">
        <f t="shared" si="12"/>
        <v>7207070202760001</v>
      </c>
      <c r="AV24" s="24" t="s">
        <v>104</v>
      </c>
      <c r="AW24" s="36" t="s">
        <v>105</v>
      </c>
      <c r="AX24" s="24" t="s">
        <v>106</v>
      </c>
      <c r="AY24" s="24" t="s">
        <v>107</v>
      </c>
      <c r="AZ24" s="23" t="s">
        <v>379</v>
      </c>
      <c r="BA24" s="24" t="s">
        <v>380</v>
      </c>
      <c r="BB24" s="6" t="s">
        <v>381</v>
      </c>
      <c r="BC24" s="24" t="s">
        <v>382</v>
      </c>
      <c r="BD24" s="24" t="s">
        <v>111</v>
      </c>
      <c r="BE24" s="24" t="s">
        <v>112</v>
      </c>
      <c r="BF24" s="24" t="s">
        <v>113</v>
      </c>
      <c r="BG24" s="24" t="s">
        <v>81</v>
      </c>
      <c r="BH24" s="27" t="s">
        <v>383</v>
      </c>
      <c r="BI24" s="5" t="s">
        <v>384</v>
      </c>
      <c r="BJ24" s="28" t="s">
        <v>385</v>
      </c>
      <c r="BK24" s="5" t="str">
        <f t="shared" si="11"/>
        <v>22040703781</v>
      </c>
      <c r="BL24" s="26" t="s">
        <v>386</v>
      </c>
      <c r="BM24" s="26" t="s">
        <v>387</v>
      </c>
      <c r="BN24" s="26" t="s">
        <v>119</v>
      </c>
      <c r="BO24" s="37">
        <v>46050</v>
      </c>
      <c r="BP24" s="34">
        <f t="shared" ca="1" si="10"/>
        <v>177</v>
      </c>
      <c r="BQ24" s="10" t="s">
        <v>120</v>
      </c>
      <c r="BR24" s="10" t="s">
        <v>120</v>
      </c>
      <c r="BS24" s="44"/>
      <c r="BT24" s="20" t="s">
        <v>388</v>
      </c>
    </row>
    <row r="25" spans="1:72" ht="14.25" x14ac:dyDescent="0.45">
      <c r="A25" s="26">
        <v>19</v>
      </c>
      <c r="B25" s="26" t="s">
        <v>76</v>
      </c>
      <c r="C25" s="26" t="s">
        <v>77</v>
      </c>
      <c r="D25" s="28" t="s">
        <v>389</v>
      </c>
      <c r="E25" s="38"/>
      <c r="F25" s="26" t="s">
        <v>390</v>
      </c>
      <c r="G25" s="24" t="s">
        <v>375</v>
      </c>
      <c r="H25" s="24" t="s">
        <v>81</v>
      </c>
      <c r="I25" s="24" t="s">
        <v>82</v>
      </c>
      <c r="J25" s="26" t="s">
        <v>83</v>
      </c>
      <c r="K25" s="26" t="s">
        <v>84</v>
      </c>
      <c r="L25" s="19" t="s">
        <v>357</v>
      </c>
      <c r="M25" s="24" t="s">
        <v>272</v>
      </c>
      <c r="N25" s="1" t="s">
        <v>357</v>
      </c>
      <c r="O25" s="26" t="s">
        <v>125</v>
      </c>
      <c r="P25" s="26" t="s">
        <v>391</v>
      </c>
      <c r="Q25" s="29">
        <v>35813</v>
      </c>
      <c r="R25" s="30">
        <f t="shared" ca="1" si="2"/>
        <v>28</v>
      </c>
      <c r="S25" s="31" t="str">
        <f t="shared" ca="1" si="7"/>
        <v xml:space="preserve">28 Tahun 6 Bulan 18 Hari </v>
      </c>
      <c r="T25" s="32">
        <f t="shared" ca="1" si="3"/>
        <v>10028</v>
      </c>
      <c r="U25" s="30" t="str">
        <f t="shared" ca="1" si="4"/>
        <v>26-30 Tahun</v>
      </c>
      <c r="V25" s="30" t="s">
        <v>89</v>
      </c>
      <c r="W25" s="24" t="s">
        <v>90</v>
      </c>
      <c r="X25" s="26" t="s">
        <v>91</v>
      </c>
      <c r="Y25" s="24" t="s">
        <v>4</v>
      </c>
      <c r="Z25" s="24" t="s">
        <v>392</v>
      </c>
      <c r="AA25" s="24" t="s">
        <v>393</v>
      </c>
      <c r="AB25" s="24" t="s">
        <v>394</v>
      </c>
      <c r="AC25" s="26" t="s">
        <v>148</v>
      </c>
      <c r="AD25" s="51"/>
      <c r="AE25" s="24" t="s">
        <v>96</v>
      </c>
      <c r="AF25" s="24" t="str">
        <f t="shared" si="9"/>
        <v>PT Sentral Sari Jaya</v>
      </c>
      <c r="AG25" s="23" t="s">
        <v>98</v>
      </c>
      <c r="AH25" s="24" t="s">
        <v>90</v>
      </c>
      <c r="AI25" s="33">
        <v>45992</v>
      </c>
      <c r="AJ25" s="33">
        <v>46356</v>
      </c>
      <c r="AK25" s="34">
        <f t="shared" ca="1" si="8"/>
        <v>118</v>
      </c>
      <c r="AL25" s="35">
        <v>45800</v>
      </c>
      <c r="AM25" s="35">
        <v>45800</v>
      </c>
      <c r="AN25" s="24" t="s">
        <v>99</v>
      </c>
      <c r="AO25" s="24" t="s">
        <v>100</v>
      </c>
      <c r="AP25" s="24" t="s">
        <v>361</v>
      </c>
      <c r="AQ25" s="26">
        <v>30285748</v>
      </c>
      <c r="AR25" s="42" t="s">
        <v>81</v>
      </c>
      <c r="AS25" s="26" t="s">
        <v>362</v>
      </c>
      <c r="AT25" s="23" t="s">
        <v>395</v>
      </c>
      <c r="AU25" s="8" t="str">
        <f t="shared" si="12"/>
        <v>7308271801980001</v>
      </c>
      <c r="AV25" s="24" t="s">
        <v>104</v>
      </c>
      <c r="AW25" s="36" t="s">
        <v>396</v>
      </c>
      <c r="AX25" s="24" t="s">
        <v>106</v>
      </c>
      <c r="AY25" s="24" t="s">
        <v>107</v>
      </c>
      <c r="AZ25" s="23" t="s">
        <v>397</v>
      </c>
      <c r="BA25" s="52" t="s">
        <v>398</v>
      </c>
      <c r="BB25" s="43"/>
      <c r="BC25" s="24" t="s">
        <v>399</v>
      </c>
      <c r="BD25" s="24" t="s">
        <v>111</v>
      </c>
      <c r="BE25" s="24" t="s">
        <v>112</v>
      </c>
      <c r="BF25" s="24" t="s">
        <v>113</v>
      </c>
      <c r="BG25" s="24" t="s">
        <v>81</v>
      </c>
      <c r="BH25" s="27" t="s">
        <v>400</v>
      </c>
      <c r="BI25" s="5" t="s">
        <v>401</v>
      </c>
      <c r="BJ25" s="28" t="s">
        <v>402</v>
      </c>
      <c r="BK25" s="5" t="str">
        <f t="shared" si="11"/>
        <v>22070191964</v>
      </c>
      <c r="BL25" s="28" t="s">
        <v>403</v>
      </c>
      <c r="BM25" s="26" t="s">
        <v>404</v>
      </c>
      <c r="BN25" s="26" t="s">
        <v>119</v>
      </c>
      <c r="BO25" s="37">
        <v>46099</v>
      </c>
      <c r="BP25" s="34">
        <f t="shared" ca="1" si="10"/>
        <v>226</v>
      </c>
      <c r="BQ25" s="10" t="s">
        <v>120</v>
      </c>
      <c r="BR25" s="10" t="s">
        <v>120</v>
      </c>
      <c r="BS25" s="44"/>
      <c r="BT25" s="20" t="s">
        <v>405</v>
      </c>
    </row>
    <row r="26" spans="1:72" ht="14.25" x14ac:dyDescent="0.45">
      <c r="A26" s="26">
        <v>20</v>
      </c>
      <c r="B26" s="26" t="s">
        <v>76</v>
      </c>
      <c r="C26" s="26" t="s">
        <v>77</v>
      </c>
      <c r="D26" s="28" t="s">
        <v>406</v>
      </c>
      <c r="E26" s="26">
        <v>1141300012</v>
      </c>
      <c r="F26" s="26" t="s">
        <v>407</v>
      </c>
      <c r="G26" s="24" t="s">
        <v>356</v>
      </c>
      <c r="H26" s="24" t="s">
        <v>81</v>
      </c>
      <c r="I26" s="24" t="s">
        <v>82</v>
      </c>
      <c r="J26" s="26" t="s">
        <v>83</v>
      </c>
      <c r="K26" s="26" t="s">
        <v>84</v>
      </c>
      <c r="L26" s="19" t="s">
        <v>357</v>
      </c>
      <c r="M26" s="24" t="s">
        <v>272</v>
      </c>
      <c r="N26" s="1" t="s">
        <v>357</v>
      </c>
      <c r="O26" s="24" t="s">
        <v>125</v>
      </c>
      <c r="P26" s="26" t="s">
        <v>408</v>
      </c>
      <c r="Q26" s="29">
        <v>29376</v>
      </c>
      <c r="R26" s="30">
        <f t="shared" ca="1" si="2"/>
        <v>46</v>
      </c>
      <c r="S26" s="31" t="str">
        <f t="shared" ca="1" si="7"/>
        <v xml:space="preserve">46 Tahun 2 Bulan 1 Hari </v>
      </c>
      <c r="T26" s="32">
        <f t="shared" ca="1" si="3"/>
        <v>3591</v>
      </c>
      <c r="U26" s="30" t="str">
        <f t="shared" ca="1" si="4"/>
        <v>46-50 Tahun</v>
      </c>
      <c r="V26" s="30" t="s">
        <v>89</v>
      </c>
      <c r="W26" s="24" t="s">
        <v>90</v>
      </c>
      <c r="X26" s="26" t="s">
        <v>91</v>
      </c>
      <c r="Y26" s="24" t="s">
        <v>4</v>
      </c>
      <c r="Z26" s="24" t="s">
        <v>409</v>
      </c>
      <c r="AA26" s="24" t="s">
        <v>81</v>
      </c>
      <c r="AB26" s="24" t="s">
        <v>410</v>
      </c>
      <c r="AC26" s="26" t="s">
        <v>130</v>
      </c>
      <c r="AD26" s="51"/>
      <c r="AE26" s="24" t="s">
        <v>96</v>
      </c>
      <c r="AF26" s="24" t="str">
        <f t="shared" si="9"/>
        <v>PT Sentral Sari Jaya</v>
      </c>
      <c r="AG26" s="23" t="s">
        <v>98</v>
      </c>
      <c r="AH26" s="24" t="s">
        <v>90</v>
      </c>
      <c r="AI26" s="33">
        <v>45992</v>
      </c>
      <c r="AJ26" s="33">
        <v>46356</v>
      </c>
      <c r="AK26" s="34">
        <f t="shared" ca="1" si="8"/>
        <v>118</v>
      </c>
      <c r="AL26" s="4">
        <v>41640</v>
      </c>
      <c r="AM26" s="35">
        <v>42644</v>
      </c>
      <c r="AN26" s="24" t="s">
        <v>99</v>
      </c>
      <c r="AO26" s="24" t="s">
        <v>100</v>
      </c>
      <c r="AP26" s="24" t="s">
        <v>361</v>
      </c>
      <c r="AQ26" s="26">
        <v>30285748</v>
      </c>
      <c r="AR26" s="42" t="s">
        <v>81</v>
      </c>
      <c r="AS26" s="26" t="s">
        <v>362</v>
      </c>
      <c r="AT26" s="23" t="s">
        <v>411</v>
      </c>
      <c r="AU26" s="8" t="str">
        <f t="shared" si="12"/>
        <v>7201010406800001</v>
      </c>
      <c r="AV26" s="24" t="s">
        <v>104</v>
      </c>
      <c r="AW26" s="36" t="s">
        <v>105</v>
      </c>
      <c r="AX26" s="24" t="s">
        <v>106</v>
      </c>
      <c r="AY26" s="24" t="s">
        <v>107</v>
      </c>
      <c r="AZ26" s="23" t="s">
        <v>412</v>
      </c>
      <c r="BA26" s="24" t="s">
        <v>81</v>
      </c>
      <c r="BB26" s="24"/>
      <c r="BC26" s="24" t="s">
        <v>413</v>
      </c>
      <c r="BD26" s="24" t="s">
        <v>111</v>
      </c>
      <c r="BE26" s="24" t="s">
        <v>112</v>
      </c>
      <c r="BF26" s="24" t="s">
        <v>113</v>
      </c>
      <c r="BG26" s="24" t="s">
        <v>81</v>
      </c>
      <c r="BH26" s="27" t="s">
        <v>414</v>
      </c>
      <c r="BI26" s="5" t="s">
        <v>415</v>
      </c>
      <c r="BJ26" s="28" t="s">
        <v>416</v>
      </c>
      <c r="BK26" s="5" t="str">
        <f t="shared" si="11"/>
        <v>20022398158</v>
      </c>
      <c r="BL26" s="26" t="s">
        <v>417</v>
      </c>
      <c r="BM26" s="26" t="s">
        <v>418</v>
      </c>
      <c r="BN26" s="26" t="s">
        <v>310</v>
      </c>
      <c r="BO26" s="37">
        <v>46043</v>
      </c>
      <c r="BP26" s="34">
        <f t="shared" ca="1" si="10"/>
        <v>170</v>
      </c>
      <c r="BQ26" s="10" t="s">
        <v>120</v>
      </c>
      <c r="BR26" s="10" t="s">
        <v>120</v>
      </c>
      <c r="BS26" s="44"/>
      <c r="BT26" s="20" t="s">
        <v>419</v>
      </c>
    </row>
    <row r="27" spans="1:72" ht="14.25" x14ac:dyDescent="0.45">
      <c r="A27" s="26">
        <v>21</v>
      </c>
      <c r="B27" s="26" t="s">
        <v>76</v>
      </c>
      <c r="C27" s="26" t="s">
        <v>77</v>
      </c>
      <c r="D27" s="28" t="s">
        <v>420</v>
      </c>
      <c r="E27" s="26">
        <v>1141300017</v>
      </c>
      <c r="F27" s="26" t="s">
        <v>421</v>
      </c>
      <c r="G27" s="24" t="s">
        <v>356</v>
      </c>
      <c r="H27" s="24" t="s">
        <v>81</v>
      </c>
      <c r="I27" s="24" t="s">
        <v>82</v>
      </c>
      <c r="J27" s="26" t="s">
        <v>342</v>
      </c>
      <c r="K27" s="26" t="s">
        <v>84</v>
      </c>
      <c r="L27" s="19" t="s">
        <v>357</v>
      </c>
      <c r="M27" s="24" t="s">
        <v>272</v>
      </c>
      <c r="N27" s="1" t="s">
        <v>357</v>
      </c>
      <c r="O27" s="24" t="s">
        <v>125</v>
      </c>
      <c r="P27" s="26" t="s">
        <v>422</v>
      </c>
      <c r="Q27" s="29">
        <v>28590</v>
      </c>
      <c r="R27" s="30">
        <f t="shared" ca="1" si="2"/>
        <v>48</v>
      </c>
      <c r="S27" s="31" t="str">
        <f t="shared" ca="1" si="7"/>
        <v xml:space="preserve">48 Tahun 3 Bulan 26 Hari </v>
      </c>
      <c r="T27" s="32">
        <f t="shared" ca="1" si="3"/>
        <v>2805</v>
      </c>
      <c r="U27" s="30" t="str">
        <f t="shared" ca="1" si="4"/>
        <v>46-50 Tahun</v>
      </c>
      <c r="V27" s="30" t="s">
        <v>89</v>
      </c>
      <c r="W27" s="24" t="s">
        <v>90</v>
      </c>
      <c r="X27" s="26" t="s">
        <v>91</v>
      </c>
      <c r="Y27" s="24" t="s">
        <v>4</v>
      </c>
      <c r="Z27" s="24" t="s">
        <v>423</v>
      </c>
      <c r="AA27" s="24" t="s">
        <v>81</v>
      </c>
      <c r="AB27" s="24" t="s">
        <v>424</v>
      </c>
      <c r="AC27" s="26" t="s">
        <v>130</v>
      </c>
      <c r="AD27" s="51"/>
      <c r="AE27" s="24" t="s">
        <v>96</v>
      </c>
      <c r="AF27" s="24" t="str">
        <f t="shared" si="9"/>
        <v>PT Sentral Sari Jaya</v>
      </c>
      <c r="AG27" s="23" t="s">
        <v>98</v>
      </c>
      <c r="AH27" s="24" t="s">
        <v>90</v>
      </c>
      <c r="AI27" s="33">
        <v>45992</v>
      </c>
      <c r="AJ27" s="33">
        <v>46356</v>
      </c>
      <c r="AK27" s="34">
        <f t="shared" ca="1" si="8"/>
        <v>118</v>
      </c>
      <c r="AL27" s="4">
        <v>41640</v>
      </c>
      <c r="AM27" s="35">
        <v>42644</v>
      </c>
      <c r="AN27" s="24" t="s">
        <v>99</v>
      </c>
      <c r="AO27" s="24" t="s">
        <v>100</v>
      </c>
      <c r="AP27" s="24" t="s">
        <v>361</v>
      </c>
      <c r="AQ27" s="26">
        <v>30285748</v>
      </c>
      <c r="AR27" s="42" t="s">
        <v>81</v>
      </c>
      <c r="AS27" s="26" t="s">
        <v>362</v>
      </c>
      <c r="AT27" s="23" t="s">
        <v>425</v>
      </c>
      <c r="AU27" s="8" t="str">
        <f t="shared" si="12"/>
        <v>7201121004780001</v>
      </c>
      <c r="AV27" s="24" t="s">
        <v>104</v>
      </c>
      <c r="AW27" s="36" t="s">
        <v>105</v>
      </c>
      <c r="AX27" s="24" t="s">
        <v>106</v>
      </c>
      <c r="AY27" s="24" t="s">
        <v>198</v>
      </c>
      <c r="AZ27" s="23" t="s">
        <v>426</v>
      </c>
      <c r="BA27" s="52" t="s">
        <v>427</v>
      </c>
      <c r="BB27" s="24"/>
      <c r="BC27" s="24" t="s">
        <v>428</v>
      </c>
      <c r="BD27" s="24" t="s">
        <v>429</v>
      </c>
      <c r="BE27" s="24" t="s">
        <v>112</v>
      </c>
      <c r="BF27" s="24" t="s">
        <v>113</v>
      </c>
      <c r="BG27" s="24" t="s">
        <v>81</v>
      </c>
      <c r="BH27" s="27" t="s">
        <v>430</v>
      </c>
      <c r="BI27" s="5" t="s">
        <v>431</v>
      </c>
      <c r="BJ27" s="28" t="s">
        <v>432</v>
      </c>
      <c r="BK27" s="5" t="str">
        <f t="shared" si="11"/>
        <v>20022398240</v>
      </c>
      <c r="BL27" s="26" t="s">
        <v>433</v>
      </c>
      <c r="BM27" s="26" t="s">
        <v>434</v>
      </c>
      <c r="BN27" s="26" t="s">
        <v>310</v>
      </c>
      <c r="BO27" s="37">
        <v>46176</v>
      </c>
      <c r="BP27" s="34">
        <f t="shared" ca="1" si="10"/>
        <v>303</v>
      </c>
      <c r="BQ27" s="10" t="s">
        <v>120</v>
      </c>
      <c r="BR27" s="10" t="s">
        <v>120</v>
      </c>
      <c r="BS27" s="44"/>
      <c r="BT27" s="20" t="s">
        <v>435</v>
      </c>
    </row>
    <row r="28" spans="1:72" ht="14.25" x14ac:dyDescent="0.45">
      <c r="A28" s="26">
        <v>22</v>
      </c>
      <c r="B28" s="26" t="s">
        <v>76</v>
      </c>
      <c r="C28" s="26" t="s">
        <v>77</v>
      </c>
      <c r="D28" s="28" t="s">
        <v>436</v>
      </c>
      <c r="E28" s="26">
        <v>1141300018</v>
      </c>
      <c r="F28" s="26" t="s">
        <v>437</v>
      </c>
      <c r="G28" s="24" t="s">
        <v>375</v>
      </c>
      <c r="H28" s="24" t="s">
        <v>81</v>
      </c>
      <c r="I28" s="24" t="s">
        <v>82</v>
      </c>
      <c r="J28" s="26" t="s">
        <v>342</v>
      </c>
      <c r="K28" s="26" t="s">
        <v>84</v>
      </c>
      <c r="L28" s="19" t="s">
        <v>357</v>
      </c>
      <c r="M28" s="24" t="s">
        <v>272</v>
      </c>
      <c r="N28" s="1" t="s">
        <v>357</v>
      </c>
      <c r="O28" s="24" t="s">
        <v>125</v>
      </c>
      <c r="P28" s="26" t="s">
        <v>422</v>
      </c>
      <c r="Q28" s="29">
        <v>29592</v>
      </c>
      <c r="R28" s="30">
        <f t="shared" ca="1" si="2"/>
        <v>45</v>
      </c>
      <c r="S28" s="31" t="str">
        <f t="shared" ca="1" si="7"/>
        <v xml:space="preserve">45 Tahun 6 Bulan 30 Hari </v>
      </c>
      <c r="T28" s="32">
        <f t="shared" ca="1" si="3"/>
        <v>3807</v>
      </c>
      <c r="U28" s="30" t="str">
        <f t="shared" ca="1" si="4"/>
        <v>41-45 Tahun</v>
      </c>
      <c r="V28" s="30" t="s">
        <v>89</v>
      </c>
      <c r="W28" s="24" t="s">
        <v>90</v>
      </c>
      <c r="X28" s="26" t="s">
        <v>91</v>
      </c>
      <c r="Y28" s="24" t="s">
        <v>4</v>
      </c>
      <c r="Z28" s="24" t="s">
        <v>423</v>
      </c>
      <c r="AA28" s="24" t="s">
        <v>81</v>
      </c>
      <c r="AB28" s="24" t="s">
        <v>438</v>
      </c>
      <c r="AC28" s="26" t="s">
        <v>148</v>
      </c>
      <c r="AD28" s="51"/>
      <c r="AE28" s="24" t="s">
        <v>96</v>
      </c>
      <c r="AF28" s="24" t="str">
        <f t="shared" si="9"/>
        <v>PT Sentral Sari Jaya</v>
      </c>
      <c r="AG28" s="23" t="s">
        <v>98</v>
      </c>
      <c r="AH28" s="24" t="s">
        <v>90</v>
      </c>
      <c r="AI28" s="33">
        <v>45992</v>
      </c>
      <c r="AJ28" s="33">
        <v>46356</v>
      </c>
      <c r="AK28" s="34">
        <f t="shared" ca="1" si="8"/>
        <v>118</v>
      </c>
      <c r="AL28" s="4">
        <v>41640</v>
      </c>
      <c r="AM28" s="35">
        <v>42644</v>
      </c>
      <c r="AN28" s="24" t="s">
        <v>99</v>
      </c>
      <c r="AO28" s="24" t="s">
        <v>100</v>
      </c>
      <c r="AP28" s="24" t="s">
        <v>361</v>
      </c>
      <c r="AQ28" s="26">
        <v>30285748</v>
      </c>
      <c r="AR28" s="42" t="s">
        <v>81</v>
      </c>
      <c r="AS28" s="26" t="s">
        <v>362</v>
      </c>
      <c r="AT28" s="23" t="s">
        <v>439</v>
      </c>
      <c r="AU28" s="8" t="str">
        <f t="shared" si="12"/>
        <v>7201120601810001</v>
      </c>
      <c r="AV28" s="24" t="s">
        <v>104</v>
      </c>
      <c r="AW28" s="36" t="s">
        <v>105</v>
      </c>
      <c r="AX28" s="24" t="s">
        <v>106</v>
      </c>
      <c r="AY28" s="24" t="s">
        <v>198</v>
      </c>
      <c r="AZ28" s="23" t="s">
        <v>440</v>
      </c>
      <c r="BA28" s="24" t="s">
        <v>81</v>
      </c>
      <c r="BB28" s="6" t="s">
        <v>441</v>
      </c>
      <c r="BC28" s="24" t="s">
        <v>442</v>
      </c>
      <c r="BD28" s="24" t="s">
        <v>429</v>
      </c>
      <c r="BE28" s="24" t="s">
        <v>112</v>
      </c>
      <c r="BF28" s="24" t="s">
        <v>113</v>
      </c>
      <c r="BG28" s="24" t="s">
        <v>81</v>
      </c>
      <c r="BH28" s="27" t="s">
        <v>443</v>
      </c>
      <c r="BI28" s="5" t="s">
        <v>444</v>
      </c>
      <c r="BJ28" s="28" t="s">
        <v>445</v>
      </c>
      <c r="BK28" s="5" t="str">
        <f t="shared" si="11"/>
        <v>20022398299</v>
      </c>
      <c r="BL28" s="26" t="s">
        <v>446</v>
      </c>
      <c r="BM28" s="26" t="s">
        <v>447</v>
      </c>
      <c r="BN28" s="26" t="s">
        <v>119</v>
      </c>
      <c r="BO28" s="37">
        <v>46181</v>
      </c>
      <c r="BP28" s="34">
        <f t="shared" ca="1" si="10"/>
        <v>308</v>
      </c>
      <c r="BQ28" s="10" t="s">
        <v>120</v>
      </c>
      <c r="BR28" s="10" t="s">
        <v>120</v>
      </c>
      <c r="BS28" s="44"/>
      <c r="BT28" s="20" t="s">
        <v>448</v>
      </c>
    </row>
    <row r="29" spans="1:72" ht="14.25" x14ac:dyDescent="0.45">
      <c r="A29" s="26">
        <v>23</v>
      </c>
      <c r="B29" s="26" t="s">
        <v>76</v>
      </c>
      <c r="C29" s="26" t="s">
        <v>77</v>
      </c>
      <c r="D29" s="28" t="s">
        <v>449</v>
      </c>
      <c r="E29" s="26">
        <v>1141300016</v>
      </c>
      <c r="F29" s="26" t="s">
        <v>450</v>
      </c>
      <c r="G29" s="24" t="s">
        <v>375</v>
      </c>
      <c r="H29" s="24" t="s">
        <v>81</v>
      </c>
      <c r="I29" s="24" t="s">
        <v>82</v>
      </c>
      <c r="J29" s="26" t="s">
        <v>342</v>
      </c>
      <c r="K29" s="26" t="s">
        <v>84</v>
      </c>
      <c r="L29" s="19" t="s">
        <v>357</v>
      </c>
      <c r="M29" s="24" t="s">
        <v>272</v>
      </c>
      <c r="N29" s="1" t="s">
        <v>357</v>
      </c>
      <c r="O29" s="24" t="s">
        <v>125</v>
      </c>
      <c r="P29" s="26" t="s">
        <v>451</v>
      </c>
      <c r="Q29" s="29">
        <v>27915</v>
      </c>
      <c r="R29" s="30">
        <f t="shared" ca="1" si="2"/>
        <v>50</v>
      </c>
      <c r="S29" s="31" t="str">
        <f t="shared" ca="1" si="7"/>
        <v xml:space="preserve">50 Tahun 2 Bulan 1 Hari </v>
      </c>
      <c r="T29" s="32">
        <f t="shared" ca="1" si="3"/>
        <v>2130</v>
      </c>
      <c r="U29" s="30" t="str">
        <f t="shared" ca="1" si="4"/>
        <v>46-50 Tahun</v>
      </c>
      <c r="V29" s="30" t="s">
        <v>89</v>
      </c>
      <c r="W29" s="24" t="s">
        <v>90</v>
      </c>
      <c r="X29" s="26" t="s">
        <v>91</v>
      </c>
      <c r="Y29" s="24" t="s">
        <v>4</v>
      </c>
      <c r="Z29" s="24" t="s">
        <v>92</v>
      </c>
      <c r="AA29" s="24" t="s">
        <v>81</v>
      </c>
      <c r="AB29" s="24" t="s">
        <v>452</v>
      </c>
      <c r="AC29" s="26" t="s">
        <v>148</v>
      </c>
      <c r="AD29" s="51"/>
      <c r="AE29" s="24" t="s">
        <v>96</v>
      </c>
      <c r="AF29" s="24" t="str">
        <f t="shared" si="9"/>
        <v>PT Sentral Sari Jaya</v>
      </c>
      <c r="AG29" s="23" t="s">
        <v>98</v>
      </c>
      <c r="AH29" s="24" t="s">
        <v>90</v>
      </c>
      <c r="AI29" s="33">
        <v>45992</v>
      </c>
      <c r="AJ29" s="33">
        <v>46356</v>
      </c>
      <c r="AK29" s="34">
        <f t="shared" ca="1" si="8"/>
        <v>118</v>
      </c>
      <c r="AL29" s="4">
        <v>41640</v>
      </c>
      <c r="AM29" s="35">
        <v>42644</v>
      </c>
      <c r="AN29" s="24" t="s">
        <v>99</v>
      </c>
      <c r="AO29" s="24" t="s">
        <v>100</v>
      </c>
      <c r="AP29" s="24" t="s">
        <v>361</v>
      </c>
      <c r="AQ29" s="26">
        <v>30285748</v>
      </c>
      <c r="AR29" s="42" t="s">
        <v>81</v>
      </c>
      <c r="AS29" s="26" t="s">
        <v>362</v>
      </c>
      <c r="AT29" s="23" t="s">
        <v>453</v>
      </c>
      <c r="AU29" s="8" t="str">
        <f t="shared" si="12"/>
        <v>7201142606760001</v>
      </c>
      <c r="AV29" s="24" t="s">
        <v>104</v>
      </c>
      <c r="AW29" s="36" t="s">
        <v>105</v>
      </c>
      <c r="AX29" s="24" t="s">
        <v>106</v>
      </c>
      <c r="AY29" s="24" t="s">
        <v>107</v>
      </c>
      <c r="AZ29" s="23" t="s">
        <v>454</v>
      </c>
      <c r="BA29" s="24" t="s">
        <v>81</v>
      </c>
      <c r="BB29" s="6" t="s">
        <v>455</v>
      </c>
      <c r="BC29" s="24" t="s">
        <v>456</v>
      </c>
      <c r="BD29" s="24" t="s">
        <v>457</v>
      </c>
      <c r="BE29" s="24" t="s">
        <v>112</v>
      </c>
      <c r="BF29" s="24" t="s">
        <v>113</v>
      </c>
      <c r="BG29" s="24" t="s">
        <v>81</v>
      </c>
      <c r="BH29" s="27" t="s">
        <v>458</v>
      </c>
      <c r="BI29" s="5" t="s">
        <v>459</v>
      </c>
      <c r="BJ29" s="28" t="s">
        <v>460</v>
      </c>
      <c r="BK29" s="5" t="str">
        <f t="shared" si="11"/>
        <v>20022398380</v>
      </c>
      <c r="BL29" s="28" t="s">
        <v>461</v>
      </c>
      <c r="BM29" s="26" t="s">
        <v>462</v>
      </c>
      <c r="BN29" s="26" t="s">
        <v>310</v>
      </c>
      <c r="BO29" s="37">
        <v>46167</v>
      </c>
      <c r="BP29" s="34">
        <f t="shared" ca="1" si="10"/>
        <v>294</v>
      </c>
      <c r="BQ29" s="10" t="s">
        <v>120</v>
      </c>
      <c r="BR29" s="10" t="s">
        <v>120</v>
      </c>
      <c r="BS29" s="44"/>
      <c r="BT29" s="20" t="s">
        <v>463</v>
      </c>
    </row>
    <row r="30" spans="1:72" ht="14.25" x14ac:dyDescent="0.45">
      <c r="A30" s="26">
        <v>24</v>
      </c>
      <c r="B30" s="26" t="s">
        <v>76</v>
      </c>
      <c r="C30" s="26" t="s">
        <v>77</v>
      </c>
      <c r="D30" s="28" t="s">
        <v>464</v>
      </c>
      <c r="E30" s="26">
        <v>1141300010</v>
      </c>
      <c r="F30" s="26" t="s">
        <v>465</v>
      </c>
      <c r="G30" s="24" t="s">
        <v>466</v>
      </c>
      <c r="H30" s="24" t="s">
        <v>467</v>
      </c>
      <c r="I30" s="24" t="s">
        <v>468</v>
      </c>
      <c r="J30" s="26" t="s">
        <v>83</v>
      </c>
      <c r="K30" s="26" t="s">
        <v>84</v>
      </c>
      <c r="L30" s="19" t="s">
        <v>469</v>
      </c>
      <c r="M30" s="24" t="s">
        <v>272</v>
      </c>
      <c r="N30" s="1" t="s">
        <v>470</v>
      </c>
      <c r="O30" s="24" t="s">
        <v>125</v>
      </c>
      <c r="P30" s="26" t="s">
        <v>471</v>
      </c>
      <c r="Q30" s="29">
        <v>35217</v>
      </c>
      <c r="R30" s="30">
        <f t="shared" ca="1" si="2"/>
        <v>30</v>
      </c>
      <c r="S30" s="31" t="str">
        <f t="shared" ca="1" si="7"/>
        <v xml:space="preserve">30 Tahun 2 Bulan 4 Hari </v>
      </c>
      <c r="T30" s="32">
        <f t="shared" ca="1" si="3"/>
        <v>9432</v>
      </c>
      <c r="U30" s="30" t="str">
        <f t="shared" ca="1" si="4"/>
        <v>26-30 Tahun</v>
      </c>
      <c r="V30" s="30" t="s">
        <v>89</v>
      </c>
      <c r="W30" s="24" t="s">
        <v>90</v>
      </c>
      <c r="X30" s="26" t="s">
        <v>91</v>
      </c>
      <c r="Y30" s="24" t="s">
        <v>4</v>
      </c>
      <c r="Z30" s="24" t="s">
        <v>179</v>
      </c>
      <c r="AA30" s="24" t="s">
        <v>472</v>
      </c>
      <c r="AB30" s="24" t="s">
        <v>473</v>
      </c>
      <c r="AC30" s="26" t="s">
        <v>148</v>
      </c>
      <c r="AD30" s="51"/>
      <c r="AE30" s="24" t="s">
        <v>96</v>
      </c>
      <c r="AF30" s="24" t="str">
        <f t="shared" si="9"/>
        <v>PT Sentral Sari Jaya</v>
      </c>
      <c r="AG30" s="23" t="s">
        <v>98</v>
      </c>
      <c r="AH30" s="24" t="s">
        <v>90</v>
      </c>
      <c r="AI30" s="33">
        <v>45992</v>
      </c>
      <c r="AJ30" s="33">
        <v>46356</v>
      </c>
      <c r="AK30" s="34">
        <f t="shared" ca="1" si="8"/>
        <v>118</v>
      </c>
      <c r="AL30" s="4">
        <v>41640</v>
      </c>
      <c r="AM30" s="35">
        <v>44682</v>
      </c>
      <c r="AN30" s="24" t="s">
        <v>99</v>
      </c>
      <c r="AO30" s="24" t="s">
        <v>100</v>
      </c>
      <c r="AP30" s="24" t="s">
        <v>361</v>
      </c>
      <c r="AQ30" s="26">
        <v>30285748</v>
      </c>
      <c r="AR30" s="42" t="s">
        <v>81</v>
      </c>
      <c r="AS30" s="26" t="s">
        <v>362</v>
      </c>
      <c r="AT30" s="23" t="s">
        <v>474</v>
      </c>
      <c r="AU30" s="8" t="str">
        <f t="shared" si="12"/>
        <v>7201014106900001</v>
      </c>
      <c r="AV30" s="24" t="s">
        <v>288</v>
      </c>
      <c r="AW30" s="36" t="s">
        <v>289</v>
      </c>
      <c r="AX30" s="24" t="s">
        <v>475</v>
      </c>
      <c r="AY30" s="24" t="s">
        <v>107</v>
      </c>
      <c r="AZ30" s="23" t="s">
        <v>476</v>
      </c>
      <c r="BA30" s="24" t="s">
        <v>477</v>
      </c>
      <c r="BB30" s="6" t="s">
        <v>478</v>
      </c>
      <c r="BC30" s="24" t="s">
        <v>479</v>
      </c>
      <c r="BD30" s="24" t="s">
        <v>111</v>
      </c>
      <c r="BE30" s="24" t="s">
        <v>112</v>
      </c>
      <c r="BF30" s="24" t="s">
        <v>113</v>
      </c>
      <c r="BG30" s="24" t="s">
        <v>81</v>
      </c>
      <c r="BH30" s="27" t="s">
        <v>480</v>
      </c>
      <c r="BI30" s="5" t="s">
        <v>481</v>
      </c>
      <c r="BJ30" s="28" t="s">
        <v>482</v>
      </c>
      <c r="BK30" s="5" t="str">
        <f t="shared" si="11"/>
        <v>20022398208</v>
      </c>
      <c r="BL30" s="26" t="s">
        <v>483</v>
      </c>
      <c r="BM30" s="26" t="s">
        <v>484</v>
      </c>
      <c r="BN30" s="26" t="s">
        <v>485</v>
      </c>
      <c r="BO30" s="37">
        <v>46079</v>
      </c>
      <c r="BP30" s="34">
        <f t="shared" ca="1" si="10"/>
        <v>206</v>
      </c>
      <c r="BQ30" s="10" t="s">
        <v>120</v>
      </c>
      <c r="BR30" s="10" t="s">
        <v>120</v>
      </c>
      <c r="BS30" s="44"/>
      <c r="BT30" s="20" t="s">
        <v>486</v>
      </c>
    </row>
    <row r="31" spans="1:72" ht="14.25" x14ac:dyDescent="0.45">
      <c r="A31" s="26">
        <v>25</v>
      </c>
      <c r="B31" s="26" t="s">
        <v>76</v>
      </c>
      <c r="C31" s="26" t="s">
        <v>77</v>
      </c>
      <c r="D31" s="28" t="s">
        <v>487</v>
      </c>
      <c r="E31" s="26">
        <v>1141300009</v>
      </c>
      <c r="F31" s="26" t="s">
        <v>488</v>
      </c>
      <c r="G31" s="24" t="s">
        <v>489</v>
      </c>
      <c r="H31" s="24" t="s">
        <v>490</v>
      </c>
      <c r="I31" s="24" t="s">
        <v>468</v>
      </c>
      <c r="J31" s="26" t="s">
        <v>83</v>
      </c>
      <c r="K31" s="26" t="s">
        <v>84</v>
      </c>
      <c r="L31" s="19" t="s">
        <v>491</v>
      </c>
      <c r="M31" s="24" t="s">
        <v>272</v>
      </c>
      <c r="N31" s="1" t="s">
        <v>491</v>
      </c>
      <c r="O31" s="24" t="s">
        <v>125</v>
      </c>
      <c r="P31" s="26" t="s">
        <v>492</v>
      </c>
      <c r="Q31" s="29">
        <v>32975</v>
      </c>
      <c r="R31" s="30">
        <f t="shared" ca="1" si="2"/>
        <v>36</v>
      </c>
      <c r="S31" s="31" t="str">
        <f t="shared" ca="1" si="7"/>
        <v xml:space="preserve">36 Tahun 3 Bulan 24 Hari </v>
      </c>
      <c r="T31" s="32">
        <f t="shared" ca="1" si="3"/>
        <v>7190</v>
      </c>
      <c r="U31" s="30" t="str">
        <f t="shared" ca="1" si="4"/>
        <v>36-40 Tahun</v>
      </c>
      <c r="V31" s="30" t="s">
        <v>89</v>
      </c>
      <c r="W31" s="24" t="s">
        <v>90</v>
      </c>
      <c r="X31" s="26" t="s">
        <v>91</v>
      </c>
      <c r="Y31" s="24" t="s">
        <v>4</v>
      </c>
      <c r="Z31" s="24" t="s">
        <v>179</v>
      </c>
      <c r="AA31" s="24" t="s">
        <v>493</v>
      </c>
      <c r="AB31" s="24" t="s">
        <v>494</v>
      </c>
      <c r="AC31" s="26" t="s">
        <v>130</v>
      </c>
      <c r="AD31" s="51"/>
      <c r="AE31" s="24" t="s">
        <v>96</v>
      </c>
      <c r="AF31" s="24" t="str">
        <f t="shared" si="9"/>
        <v>PT Sentral Sari Jaya</v>
      </c>
      <c r="AG31" s="23" t="s">
        <v>98</v>
      </c>
      <c r="AH31" s="24" t="s">
        <v>90</v>
      </c>
      <c r="AI31" s="33">
        <v>45992</v>
      </c>
      <c r="AJ31" s="33">
        <v>46356</v>
      </c>
      <c r="AK31" s="34">
        <f t="shared" ca="1" si="8"/>
        <v>118</v>
      </c>
      <c r="AL31" s="4">
        <v>41640</v>
      </c>
      <c r="AM31" s="35">
        <v>44470</v>
      </c>
      <c r="AN31" s="24" t="s">
        <v>99</v>
      </c>
      <c r="AO31" s="24" t="s">
        <v>100</v>
      </c>
      <c r="AP31" s="24" t="s">
        <v>495</v>
      </c>
      <c r="AQ31" s="26">
        <v>30236196</v>
      </c>
      <c r="AR31" s="42" t="s">
        <v>81</v>
      </c>
      <c r="AS31" s="26" t="s">
        <v>496</v>
      </c>
      <c r="AT31" s="23" t="s">
        <v>497</v>
      </c>
      <c r="AU31" s="8" t="str">
        <f t="shared" si="12"/>
        <v>7201015204900001</v>
      </c>
      <c r="AV31" s="24" t="s">
        <v>104</v>
      </c>
      <c r="AW31" s="36" t="s">
        <v>105</v>
      </c>
      <c r="AX31" s="24" t="s">
        <v>475</v>
      </c>
      <c r="AY31" s="24" t="s">
        <v>107</v>
      </c>
      <c r="AZ31" s="23" t="s">
        <v>498</v>
      </c>
      <c r="BA31" s="24" t="s">
        <v>499</v>
      </c>
      <c r="BB31" s="6" t="s">
        <v>500</v>
      </c>
      <c r="BC31" s="24" t="s">
        <v>501</v>
      </c>
      <c r="BD31" s="24" t="s">
        <v>111</v>
      </c>
      <c r="BE31" s="24" t="s">
        <v>112</v>
      </c>
      <c r="BF31" s="24" t="s">
        <v>113</v>
      </c>
      <c r="BG31" s="24" t="s">
        <v>81</v>
      </c>
      <c r="BH31" s="27" t="s">
        <v>502</v>
      </c>
      <c r="BI31" s="5" t="s">
        <v>503</v>
      </c>
      <c r="BJ31" s="28" t="s">
        <v>504</v>
      </c>
      <c r="BK31" s="5" t="str">
        <f t="shared" si="11"/>
        <v>20022398182</v>
      </c>
      <c r="BL31" s="28" t="s">
        <v>505</v>
      </c>
      <c r="BM31" s="26" t="s">
        <v>506</v>
      </c>
      <c r="BN31" s="26" t="s">
        <v>507</v>
      </c>
      <c r="BO31" s="37">
        <v>46050</v>
      </c>
      <c r="BP31" s="34">
        <f t="shared" ca="1" si="10"/>
        <v>177</v>
      </c>
      <c r="BQ31" s="10" t="s">
        <v>120</v>
      </c>
      <c r="BR31" s="10" t="s">
        <v>120</v>
      </c>
      <c r="BS31" s="44"/>
      <c r="BT31" s="20" t="s">
        <v>508</v>
      </c>
    </row>
    <row r="32" spans="1:72" ht="14.25" x14ac:dyDescent="0.45">
      <c r="A32" s="26">
        <v>26</v>
      </c>
      <c r="B32" s="26" t="s">
        <v>76</v>
      </c>
      <c r="C32" s="26" t="s">
        <v>77</v>
      </c>
      <c r="D32" s="28" t="s">
        <v>509</v>
      </c>
      <c r="E32" s="26">
        <v>1141300008</v>
      </c>
      <c r="F32" s="26" t="s">
        <v>510</v>
      </c>
      <c r="G32" s="24" t="s">
        <v>489</v>
      </c>
      <c r="H32" s="24" t="s">
        <v>511</v>
      </c>
      <c r="I32" s="24" t="s">
        <v>468</v>
      </c>
      <c r="J32" s="26" t="s">
        <v>83</v>
      </c>
      <c r="K32" s="26" t="s">
        <v>84</v>
      </c>
      <c r="L32" s="19" t="s">
        <v>512</v>
      </c>
      <c r="M32" s="24" t="s">
        <v>272</v>
      </c>
      <c r="N32" s="1" t="s">
        <v>513</v>
      </c>
      <c r="O32" s="24" t="s">
        <v>125</v>
      </c>
      <c r="P32" s="26" t="s">
        <v>88</v>
      </c>
      <c r="Q32" s="29">
        <v>34045</v>
      </c>
      <c r="R32" s="30">
        <f t="shared" ca="1" si="2"/>
        <v>33</v>
      </c>
      <c r="S32" s="31" t="str">
        <f t="shared" ca="1" si="7"/>
        <v xml:space="preserve">33 Tahun 4 Bulan 19 Hari </v>
      </c>
      <c r="T32" s="32">
        <f t="shared" ca="1" si="3"/>
        <v>8260</v>
      </c>
      <c r="U32" s="30" t="str">
        <f t="shared" ca="1" si="4"/>
        <v>31-35 Tahun</v>
      </c>
      <c r="V32" s="30" t="s">
        <v>89</v>
      </c>
      <c r="W32" s="24" t="s">
        <v>90</v>
      </c>
      <c r="X32" s="26" t="s">
        <v>91</v>
      </c>
      <c r="Y32" s="24" t="s">
        <v>4</v>
      </c>
      <c r="Z32" s="24" t="s">
        <v>127</v>
      </c>
      <c r="AA32" s="24" t="s">
        <v>514</v>
      </c>
      <c r="AB32" s="24" t="s">
        <v>515</v>
      </c>
      <c r="AC32" s="26" t="s">
        <v>130</v>
      </c>
      <c r="AD32" s="51"/>
      <c r="AE32" s="24" t="s">
        <v>96</v>
      </c>
      <c r="AF32" s="24" t="str">
        <f t="shared" si="9"/>
        <v>PT Sentral Sari Jaya</v>
      </c>
      <c r="AG32" s="23" t="s">
        <v>98</v>
      </c>
      <c r="AH32" s="24" t="s">
        <v>90</v>
      </c>
      <c r="AI32" s="33">
        <v>45992</v>
      </c>
      <c r="AJ32" s="33">
        <v>46356</v>
      </c>
      <c r="AK32" s="34">
        <f t="shared" ca="1" si="8"/>
        <v>118</v>
      </c>
      <c r="AL32" s="4">
        <v>41640</v>
      </c>
      <c r="AM32" s="35">
        <v>42644</v>
      </c>
      <c r="AN32" s="24" t="s">
        <v>99</v>
      </c>
      <c r="AO32" s="24" t="s">
        <v>100</v>
      </c>
      <c r="AP32" s="24" t="s">
        <v>516</v>
      </c>
      <c r="AQ32" s="24">
        <v>30285651</v>
      </c>
      <c r="AR32" s="24">
        <v>30285651</v>
      </c>
      <c r="AS32" s="24" t="s">
        <v>517</v>
      </c>
      <c r="AT32" s="23" t="s">
        <v>518</v>
      </c>
      <c r="AU32" s="8" t="str">
        <f t="shared" si="12"/>
        <v>7201015703930001</v>
      </c>
      <c r="AV32" s="24" t="s">
        <v>104</v>
      </c>
      <c r="AW32" s="36" t="s">
        <v>183</v>
      </c>
      <c r="AX32" s="24" t="s">
        <v>475</v>
      </c>
      <c r="AY32" s="24" t="s">
        <v>107</v>
      </c>
      <c r="AZ32" s="23" t="s">
        <v>519</v>
      </c>
      <c r="BA32" s="24" t="s">
        <v>520</v>
      </c>
      <c r="BB32" s="6" t="s">
        <v>521</v>
      </c>
      <c r="BC32" s="24" t="s">
        <v>522</v>
      </c>
      <c r="BD32" s="24" t="s">
        <v>111</v>
      </c>
      <c r="BE32" s="24" t="s">
        <v>112</v>
      </c>
      <c r="BF32" s="24" t="s">
        <v>113</v>
      </c>
      <c r="BG32" s="24" t="s">
        <v>81</v>
      </c>
      <c r="BH32" s="27" t="s">
        <v>523</v>
      </c>
      <c r="BI32" s="5" t="s">
        <v>524</v>
      </c>
      <c r="BJ32" s="28" t="s">
        <v>525</v>
      </c>
      <c r="BK32" s="5" t="str">
        <f t="shared" si="11"/>
        <v>19061743365</v>
      </c>
      <c r="BL32" s="26" t="s">
        <v>526</v>
      </c>
      <c r="BM32" s="26" t="s">
        <v>527</v>
      </c>
      <c r="BN32" s="26" t="s">
        <v>485</v>
      </c>
      <c r="BO32" s="37">
        <v>46164</v>
      </c>
      <c r="BP32" s="34">
        <f t="shared" ca="1" si="10"/>
        <v>291</v>
      </c>
      <c r="BQ32" s="10" t="s">
        <v>120</v>
      </c>
      <c r="BR32" s="10" t="s">
        <v>120</v>
      </c>
      <c r="BS32" s="44"/>
      <c r="BT32" s="20" t="s">
        <v>528</v>
      </c>
    </row>
    <row r="33" spans="1:72" ht="14.25" x14ac:dyDescent="0.45">
      <c r="A33" s="26">
        <v>27</v>
      </c>
      <c r="B33" s="26" t="s">
        <v>76</v>
      </c>
      <c r="C33" s="26" t="s">
        <v>77</v>
      </c>
      <c r="D33" s="28" t="s">
        <v>529</v>
      </c>
      <c r="E33" s="26">
        <v>1141300032</v>
      </c>
      <c r="F33" s="26" t="s">
        <v>530</v>
      </c>
      <c r="G33" s="24" t="s">
        <v>80</v>
      </c>
      <c r="H33" s="24" t="s">
        <v>81</v>
      </c>
      <c r="I33" s="24" t="s">
        <v>82</v>
      </c>
      <c r="J33" s="26" t="s">
        <v>342</v>
      </c>
      <c r="K33" s="26" t="s">
        <v>84</v>
      </c>
      <c r="L33" s="19" t="s">
        <v>85</v>
      </c>
      <c r="M33" s="24" t="s">
        <v>86</v>
      </c>
      <c r="N33" s="1" t="s">
        <v>85</v>
      </c>
      <c r="O33" s="24" t="s">
        <v>87</v>
      </c>
      <c r="P33" s="26" t="s">
        <v>111</v>
      </c>
      <c r="Q33" s="29">
        <v>28158</v>
      </c>
      <c r="R33" s="30">
        <f t="shared" ca="1" si="2"/>
        <v>49</v>
      </c>
      <c r="S33" s="31" t="str">
        <f t="shared" ca="1" si="7"/>
        <v xml:space="preserve">49 Tahun 6 Bulan 3 Hari </v>
      </c>
      <c r="T33" s="32">
        <f t="shared" ca="1" si="3"/>
        <v>2373</v>
      </c>
      <c r="U33" s="30" t="str">
        <f t="shared" ca="1" si="4"/>
        <v>46-50 Tahun</v>
      </c>
      <c r="V33" s="30" t="s">
        <v>89</v>
      </c>
      <c r="W33" s="24" t="s">
        <v>90</v>
      </c>
      <c r="X33" s="26" t="s">
        <v>91</v>
      </c>
      <c r="Y33" s="24" t="s">
        <v>2</v>
      </c>
      <c r="Z33" s="24" t="s">
        <v>92</v>
      </c>
      <c r="AA33" s="24" t="s">
        <v>162</v>
      </c>
      <c r="AB33" s="24" t="s">
        <v>94</v>
      </c>
      <c r="AC33" s="26" t="s">
        <v>95</v>
      </c>
      <c r="AD33" s="51"/>
      <c r="AE33" s="24" t="s">
        <v>96</v>
      </c>
      <c r="AF33" s="24" t="str">
        <f t="shared" si="9"/>
        <v>PT Sentral Sari Jaya</v>
      </c>
      <c r="AG33" s="23" t="s">
        <v>98</v>
      </c>
      <c r="AH33" s="24" t="s">
        <v>90</v>
      </c>
      <c r="AI33" s="33">
        <v>45992</v>
      </c>
      <c r="AJ33" s="33">
        <v>46356</v>
      </c>
      <c r="AK33" s="34">
        <f t="shared" ca="1" si="8"/>
        <v>118</v>
      </c>
      <c r="AL33" s="4">
        <v>41640</v>
      </c>
      <c r="AM33" s="35">
        <v>43040</v>
      </c>
      <c r="AN33" s="24" t="s">
        <v>99</v>
      </c>
      <c r="AO33" s="24" t="s">
        <v>100</v>
      </c>
      <c r="AP33" s="24" t="s">
        <v>101</v>
      </c>
      <c r="AQ33" s="24">
        <v>30284899</v>
      </c>
      <c r="AR33" s="24">
        <v>30284899</v>
      </c>
      <c r="AS33" s="24" t="s">
        <v>102</v>
      </c>
      <c r="AT33" s="23" t="s">
        <v>531</v>
      </c>
      <c r="AU33" s="8" t="str">
        <f t="shared" si="12"/>
        <v>7201010202770005</v>
      </c>
      <c r="AV33" s="24" t="s">
        <v>104</v>
      </c>
      <c r="AW33" s="36" t="s">
        <v>105</v>
      </c>
      <c r="AX33" s="24" t="s">
        <v>106</v>
      </c>
      <c r="AY33" s="24" t="s">
        <v>107</v>
      </c>
      <c r="AZ33" s="23" t="s">
        <v>150</v>
      </c>
      <c r="BA33" s="24" t="s">
        <v>532</v>
      </c>
      <c r="BB33" s="24"/>
      <c r="BC33" s="24" t="s">
        <v>533</v>
      </c>
      <c r="BD33" s="24" t="s">
        <v>429</v>
      </c>
      <c r="BE33" s="24" t="s">
        <v>112</v>
      </c>
      <c r="BF33" s="24" t="s">
        <v>113</v>
      </c>
      <c r="BG33" s="24" t="s">
        <v>81</v>
      </c>
      <c r="BH33" s="28" t="s">
        <v>534</v>
      </c>
      <c r="BI33" s="5" t="s">
        <v>535</v>
      </c>
      <c r="BJ33" s="28" t="s">
        <v>536</v>
      </c>
      <c r="BK33" s="5" t="str">
        <f t="shared" si="11"/>
        <v>22026728349</v>
      </c>
      <c r="BL33" s="26" t="s">
        <v>537</v>
      </c>
      <c r="BM33" s="26" t="s">
        <v>538</v>
      </c>
      <c r="BN33" s="26" t="s">
        <v>119</v>
      </c>
      <c r="BO33" s="37">
        <v>46181</v>
      </c>
      <c r="BP33" s="34">
        <f t="shared" ca="1" si="10"/>
        <v>308</v>
      </c>
      <c r="BQ33" s="10" t="s">
        <v>120</v>
      </c>
      <c r="BR33" s="10" t="s">
        <v>120</v>
      </c>
      <c r="BS33" s="44"/>
      <c r="BT33" s="20" t="s">
        <v>539</v>
      </c>
    </row>
    <row r="34" spans="1:72" ht="14.25" x14ac:dyDescent="0.45">
      <c r="A34" s="26">
        <v>28</v>
      </c>
      <c r="B34" s="26" t="s">
        <v>76</v>
      </c>
      <c r="C34" s="26" t="s">
        <v>77</v>
      </c>
      <c r="D34" s="28" t="s">
        <v>540</v>
      </c>
      <c r="E34" s="26">
        <v>1141300034</v>
      </c>
      <c r="F34" s="26" t="s">
        <v>541</v>
      </c>
      <c r="G34" s="24" t="s">
        <v>145</v>
      </c>
      <c r="H34" s="24" t="s">
        <v>81</v>
      </c>
      <c r="I34" s="24" t="s">
        <v>82</v>
      </c>
      <c r="J34" s="26" t="s">
        <v>342</v>
      </c>
      <c r="K34" s="26" t="s">
        <v>84</v>
      </c>
      <c r="L34" s="19" t="s">
        <v>85</v>
      </c>
      <c r="M34" s="24" t="s">
        <v>86</v>
      </c>
      <c r="N34" s="1" t="s">
        <v>85</v>
      </c>
      <c r="O34" s="24" t="s">
        <v>125</v>
      </c>
      <c r="P34" s="26" t="s">
        <v>542</v>
      </c>
      <c r="Q34" s="29">
        <v>29932</v>
      </c>
      <c r="R34" s="30">
        <f t="shared" ca="1" si="2"/>
        <v>44</v>
      </c>
      <c r="S34" s="31" t="str">
        <f t="shared" ca="1" si="7"/>
        <v xml:space="preserve">44 Tahun 7 Bulan 24 Hari </v>
      </c>
      <c r="T34" s="32">
        <f t="shared" ca="1" si="3"/>
        <v>4147</v>
      </c>
      <c r="U34" s="30" t="str">
        <f t="shared" ca="1" si="4"/>
        <v>41-45 Tahun</v>
      </c>
      <c r="V34" s="30" t="s">
        <v>89</v>
      </c>
      <c r="W34" s="24" t="s">
        <v>90</v>
      </c>
      <c r="X34" s="26" t="s">
        <v>91</v>
      </c>
      <c r="Y34" s="24" t="s">
        <v>2</v>
      </c>
      <c r="Z34" s="24" t="s">
        <v>423</v>
      </c>
      <c r="AA34" s="24" t="s">
        <v>81</v>
      </c>
      <c r="AB34" s="24" t="s">
        <v>543</v>
      </c>
      <c r="AC34" s="26" t="s">
        <v>148</v>
      </c>
      <c r="AD34" s="51"/>
      <c r="AE34" s="24" t="s">
        <v>96</v>
      </c>
      <c r="AF34" s="24" t="str">
        <f t="shared" si="9"/>
        <v>PT Sentral Sari Jaya</v>
      </c>
      <c r="AG34" s="23" t="s">
        <v>98</v>
      </c>
      <c r="AH34" s="24" t="s">
        <v>90</v>
      </c>
      <c r="AI34" s="33">
        <v>45992</v>
      </c>
      <c r="AJ34" s="33">
        <v>46356</v>
      </c>
      <c r="AK34" s="34">
        <f t="shared" ca="1" si="8"/>
        <v>118</v>
      </c>
      <c r="AL34" s="4">
        <v>41640</v>
      </c>
      <c r="AM34" s="35">
        <v>42644</v>
      </c>
      <c r="AN34" s="24" t="s">
        <v>99</v>
      </c>
      <c r="AO34" s="24" t="s">
        <v>100</v>
      </c>
      <c r="AP34" s="24" t="s">
        <v>101</v>
      </c>
      <c r="AQ34" s="24">
        <v>30284899</v>
      </c>
      <c r="AR34" s="24">
        <v>30284899</v>
      </c>
      <c r="AS34" s="24" t="s">
        <v>102</v>
      </c>
      <c r="AT34" s="23" t="s">
        <v>544</v>
      </c>
      <c r="AU34" s="8" t="str">
        <f t="shared" si="12"/>
        <v>7201091212810006</v>
      </c>
      <c r="AV34" s="24" t="s">
        <v>104</v>
      </c>
      <c r="AW34" s="36" t="s">
        <v>183</v>
      </c>
      <c r="AX34" s="24" t="s">
        <v>106</v>
      </c>
      <c r="AY34" s="24" t="s">
        <v>107</v>
      </c>
      <c r="AZ34" s="23" t="s">
        <v>545</v>
      </c>
      <c r="BA34" s="24" t="s">
        <v>546</v>
      </c>
      <c r="BB34" s="24">
        <v>0</v>
      </c>
      <c r="BC34" s="24" t="s">
        <v>547</v>
      </c>
      <c r="BD34" s="24" t="s">
        <v>429</v>
      </c>
      <c r="BE34" s="24" t="s">
        <v>112</v>
      </c>
      <c r="BF34" s="24" t="s">
        <v>113</v>
      </c>
      <c r="BG34" s="24" t="s">
        <v>81</v>
      </c>
      <c r="BH34" s="28" t="s">
        <v>548</v>
      </c>
      <c r="BI34" s="5" t="s">
        <v>549</v>
      </c>
      <c r="BJ34" s="28" t="s">
        <v>550</v>
      </c>
      <c r="BK34" s="5" t="str">
        <f t="shared" si="11"/>
        <v>22026728240</v>
      </c>
      <c r="BL34" s="26" t="s">
        <v>551</v>
      </c>
      <c r="BM34" s="26" t="s">
        <v>552</v>
      </c>
      <c r="BN34" s="26" t="s">
        <v>119</v>
      </c>
      <c r="BO34" s="37">
        <v>46181</v>
      </c>
      <c r="BP34" s="34">
        <f t="shared" ca="1" si="10"/>
        <v>308</v>
      </c>
      <c r="BQ34" s="10" t="s">
        <v>120</v>
      </c>
      <c r="BR34" s="10" t="s">
        <v>120</v>
      </c>
      <c r="BS34" s="44"/>
      <c r="BT34" s="20" t="s">
        <v>553</v>
      </c>
    </row>
    <row r="35" spans="1:72" ht="14.25" x14ac:dyDescent="0.45">
      <c r="A35" s="26">
        <v>29</v>
      </c>
      <c r="B35" s="26" t="s">
        <v>76</v>
      </c>
      <c r="C35" s="26" t="s">
        <v>77</v>
      </c>
      <c r="D35" s="28" t="s">
        <v>554</v>
      </c>
      <c r="E35" s="26">
        <v>1141300063</v>
      </c>
      <c r="F35" s="26" t="s">
        <v>555</v>
      </c>
      <c r="G35" s="24" t="s">
        <v>145</v>
      </c>
      <c r="H35" s="24" t="s">
        <v>81</v>
      </c>
      <c r="I35" s="24" t="s">
        <v>82</v>
      </c>
      <c r="J35" s="26" t="s">
        <v>342</v>
      </c>
      <c r="K35" s="26" t="s">
        <v>84</v>
      </c>
      <c r="L35" s="19" t="s">
        <v>85</v>
      </c>
      <c r="M35" s="24" t="s">
        <v>272</v>
      </c>
      <c r="N35" s="1" t="s">
        <v>85</v>
      </c>
      <c r="O35" s="24" t="s">
        <v>125</v>
      </c>
      <c r="P35" s="26" t="s">
        <v>422</v>
      </c>
      <c r="Q35" s="29">
        <v>35582</v>
      </c>
      <c r="R35" s="30">
        <f t="shared" ca="1" si="2"/>
        <v>29</v>
      </c>
      <c r="S35" s="31" t="str">
        <f t="shared" ca="1" si="7"/>
        <v xml:space="preserve">29 Tahun 2 Bulan 4 Hari </v>
      </c>
      <c r="T35" s="32">
        <f t="shared" ca="1" si="3"/>
        <v>9797</v>
      </c>
      <c r="U35" s="30" t="str">
        <f t="shared" ca="1" si="4"/>
        <v>26-30 Tahun</v>
      </c>
      <c r="V35" s="30" t="s">
        <v>89</v>
      </c>
      <c r="W35" s="24" t="s">
        <v>90</v>
      </c>
      <c r="X35" s="26" t="s">
        <v>91</v>
      </c>
      <c r="Y35" s="24" t="s">
        <v>2</v>
      </c>
      <c r="Z35" s="24" t="s">
        <v>179</v>
      </c>
      <c r="AA35" s="24" t="s">
        <v>556</v>
      </c>
      <c r="AB35" s="24" t="s">
        <v>557</v>
      </c>
      <c r="AC35" s="26" t="s">
        <v>148</v>
      </c>
      <c r="AD35" s="51"/>
      <c r="AE35" s="24" t="s">
        <v>96</v>
      </c>
      <c r="AF35" s="24" t="str">
        <f t="shared" si="9"/>
        <v>PT Sentral Sari Jaya</v>
      </c>
      <c r="AG35" s="23" t="s">
        <v>98</v>
      </c>
      <c r="AH35" s="24" t="s">
        <v>90</v>
      </c>
      <c r="AI35" s="33">
        <v>45992</v>
      </c>
      <c r="AJ35" s="33">
        <v>46356</v>
      </c>
      <c r="AK35" s="34">
        <f t="shared" ca="1" si="8"/>
        <v>118</v>
      </c>
      <c r="AL35" s="4">
        <v>41640</v>
      </c>
      <c r="AM35" s="35">
        <v>43560</v>
      </c>
      <c r="AN35" s="24" t="s">
        <v>99</v>
      </c>
      <c r="AO35" s="24" t="s">
        <v>100</v>
      </c>
      <c r="AP35" s="24" t="s">
        <v>101</v>
      </c>
      <c r="AQ35" s="24">
        <v>30284899</v>
      </c>
      <c r="AR35" s="24">
        <v>30284899</v>
      </c>
      <c r="AS35" s="24" t="s">
        <v>102</v>
      </c>
      <c r="AT35" s="23" t="s">
        <v>558</v>
      </c>
      <c r="AU35" s="8" t="str">
        <f t="shared" si="12"/>
        <v>7201120106970001</v>
      </c>
      <c r="AV35" s="24" t="s">
        <v>104</v>
      </c>
      <c r="AW35" s="36" t="s">
        <v>165</v>
      </c>
      <c r="AX35" s="24" t="s">
        <v>106</v>
      </c>
      <c r="AY35" s="24" t="s">
        <v>198</v>
      </c>
      <c r="AZ35" s="23" t="s">
        <v>559</v>
      </c>
      <c r="BA35" s="24" t="s">
        <v>560</v>
      </c>
      <c r="BB35" s="24"/>
      <c r="BC35" s="24" t="s">
        <v>561</v>
      </c>
      <c r="BD35" s="24" t="s">
        <v>429</v>
      </c>
      <c r="BE35" s="24" t="s">
        <v>112</v>
      </c>
      <c r="BF35" s="24" t="s">
        <v>113</v>
      </c>
      <c r="BG35" s="24" t="s">
        <v>81</v>
      </c>
      <c r="BH35" s="27" t="s">
        <v>562</v>
      </c>
      <c r="BI35" s="5" t="s">
        <v>563</v>
      </c>
      <c r="BJ35" s="28" t="s">
        <v>564</v>
      </c>
      <c r="BK35" s="5" t="str">
        <f t="shared" si="11"/>
        <v>22016675245</v>
      </c>
      <c r="BL35" s="26" t="s">
        <v>565</v>
      </c>
      <c r="BM35" s="26" t="s">
        <v>566</v>
      </c>
      <c r="BN35" s="26" t="s">
        <v>119</v>
      </c>
      <c r="BO35" s="37">
        <v>46176</v>
      </c>
      <c r="BP35" s="34">
        <f t="shared" ca="1" si="10"/>
        <v>303</v>
      </c>
      <c r="BQ35" s="10" t="s">
        <v>120</v>
      </c>
      <c r="BR35" s="10" t="s">
        <v>120</v>
      </c>
      <c r="BS35" s="44"/>
      <c r="BT35" s="20" t="s">
        <v>567</v>
      </c>
    </row>
    <row r="36" spans="1:72" ht="14.25" x14ac:dyDescent="0.45">
      <c r="A36" s="26">
        <v>30</v>
      </c>
      <c r="B36" s="26" t="s">
        <v>76</v>
      </c>
      <c r="C36" s="26" t="s">
        <v>77</v>
      </c>
      <c r="D36" s="28" t="s">
        <v>568</v>
      </c>
      <c r="E36" s="26">
        <v>1141300064</v>
      </c>
      <c r="F36" s="26" t="s">
        <v>569</v>
      </c>
      <c r="G36" s="24" t="s">
        <v>145</v>
      </c>
      <c r="H36" s="24" t="s">
        <v>81</v>
      </c>
      <c r="I36" s="24" t="s">
        <v>82</v>
      </c>
      <c r="J36" s="26" t="s">
        <v>342</v>
      </c>
      <c r="K36" s="26" t="s">
        <v>84</v>
      </c>
      <c r="L36" s="19" t="s">
        <v>85</v>
      </c>
      <c r="M36" s="24" t="s">
        <v>272</v>
      </c>
      <c r="N36" s="1" t="s">
        <v>85</v>
      </c>
      <c r="O36" s="24" t="s">
        <v>125</v>
      </c>
      <c r="P36" s="26" t="s">
        <v>570</v>
      </c>
      <c r="Q36" s="29">
        <v>35648</v>
      </c>
      <c r="R36" s="30">
        <f t="shared" ca="1" si="2"/>
        <v>28</v>
      </c>
      <c r="S36" s="31" t="str">
        <f t="shared" ca="1" si="7"/>
        <v xml:space="preserve">28 Tahun 11 Bulan 30 Hari </v>
      </c>
      <c r="T36" s="32">
        <f t="shared" ca="1" si="3"/>
        <v>9863</v>
      </c>
      <c r="U36" s="30" t="str">
        <f t="shared" ca="1" si="4"/>
        <v>26-30 Tahun</v>
      </c>
      <c r="V36" s="30" t="s">
        <v>89</v>
      </c>
      <c r="W36" s="24" t="s">
        <v>90</v>
      </c>
      <c r="X36" s="26" t="s">
        <v>91</v>
      </c>
      <c r="Y36" s="24" t="s">
        <v>2</v>
      </c>
      <c r="Z36" s="24" t="s">
        <v>179</v>
      </c>
      <c r="AA36" s="24" t="s">
        <v>571</v>
      </c>
      <c r="AB36" s="24" t="s">
        <v>572</v>
      </c>
      <c r="AC36" s="26" t="s">
        <v>148</v>
      </c>
      <c r="AD36" s="51"/>
      <c r="AE36" s="24" t="s">
        <v>96</v>
      </c>
      <c r="AF36" s="24" t="str">
        <f t="shared" si="9"/>
        <v>PT Sentral Sari Jaya</v>
      </c>
      <c r="AG36" s="23" t="s">
        <v>98</v>
      </c>
      <c r="AH36" s="24" t="s">
        <v>90</v>
      </c>
      <c r="AI36" s="33">
        <v>45992</v>
      </c>
      <c r="AJ36" s="33">
        <v>46356</v>
      </c>
      <c r="AK36" s="34">
        <f t="shared" ca="1" si="8"/>
        <v>118</v>
      </c>
      <c r="AL36" s="4">
        <v>41640</v>
      </c>
      <c r="AM36" s="35">
        <v>44470</v>
      </c>
      <c r="AN36" s="24" t="s">
        <v>99</v>
      </c>
      <c r="AO36" s="24" t="s">
        <v>100</v>
      </c>
      <c r="AP36" s="24" t="s">
        <v>101</v>
      </c>
      <c r="AQ36" s="24">
        <v>30284899</v>
      </c>
      <c r="AR36" s="24">
        <v>30284899</v>
      </c>
      <c r="AS36" s="24" t="s">
        <v>102</v>
      </c>
      <c r="AT36" s="23" t="s">
        <v>573</v>
      </c>
      <c r="AU36" s="8" t="str">
        <f t="shared" si="12"/>
        <v>7201120608970001</v>
      </c>
      <c r="AV36" s="24" t="s">
        <v>104</v>
      </c>
      <c r="AW36" s="36" t="s">
        <v>165</v>
      </c>
      <c r="AX36" s="24" t="s">
        <v>106</v>
      </c>
      <c r="AY36" s="24" t="s">
        <v>198</v>
      </c>
      <c r="AZ36" s="23" t="s">
        <v>574</v>
      </c>
      <c r="BA36" s="24" t="s">
        <v>575</v>
      </c>
      <c r="BB36" s="24"/>
      <c r="BC36" s="24" t="s">
        <v>576</v>
      </c>
      <c r="BD36" s="24" t="s">
        <v>429</v>
      </c>
      <c r="BE36" s="24" t="s">
        <v>112</v>
      </c>
      <c r="BF36" s="24" t="s">
        <v>113</v>
      </c>
      <c r="BG36" s="24" t="s">
        <v>81</v>
      </c>
      <c r="BH36" s="27" t="s">
        <v>577</v>
      </c>
      <c r="BI36" s="5" t="s">
        <v>578</v>
      </c>
      <c r="BJ36" s="28" t="s">
        <v>579</v>
      </c>
      <c r="BK36" s="5" t="str">
        <f t="shared" si="11"/>
        <v>22040703831</v>
      </c>
      <c r="BL36" s="26" t="s">
        <v>580</v>
      </c>
      <c r="BM36" s="26" t="s">
        <v>581</v>
      </c>
      <c r="BN36" s="26" t="s">
        <v>119</v>
      </c>
      <c r="BO36" s="37">
        <v>46176</v>
      </c>
      <c r="BP36" s="34">
        <f t="shared" ca="1" si="10"/>
        <v>303</v>
      </c>
      <c r="BQ36" s="10" t="s">
        <v>120</v>
      </c>
      <c r="BR36" s="10" t="s">
        <v>120</v>
      </c>
      <c r="BS36" s="44"/>
      <c r="BT36" s="20" t="s">
        <v>582</v>
      </c>
    </row>
    <row r="37" spans="1:72" ht="14.25" x14ac:dyDescent="0.45">
      <c r="A37" s="26">
        <v>31</v>
      </c>
      <c r="B37" s="26" t="s">
        <v>76</v>
      </c>
      <c r="C37" s="26" t="s">
        <v>77</v>
      </c>
      <c r="D37" s="28" t="s">
        <v>583</v>
      </c>
      <c r="E37" s="28">
        <v>1141300031</v>
      </c>
      <c r="F37" s="26" t="s">
        <v>584</v>
      </c>
      <c r="G37" s="24" t="s">
        <v>145</v>
      </c>
      <c r="H37" s="24" t="s">
        <v>81</v>
      </c>
      <c r="I37" s="24" t="s">
        <v>82</v>
      </c>
      <c r="J37" s="26" t="s">
        <v>342</v>
      </c>
      <c r="K37" s="26" t="s">
        <v>84</v>
      </c>
      <c r="L37" s="19" t="s">
        <v>85</v>
      </c>
      <c r="M37" s="24" t="s">
        <v>272</v>
      </c>
      <c r="N37" s="1" t="s">
        <v>85</v>
      </c>
      <c r="O37" s="24" t="s">
        <v>125</v>
      </c>
      <c r="P37" s="26" t="s">
        <v>585</v>
      </c>
      <c r="Q37" s="29">
        <v>26279</v>
      </c>
      <c r="R37" s="30">
        <f t="shared" ca="1" si="2"/>
        <v>54</v>
      </c>
      <c r="S37" s="31" t="str">
        <f t="shared" ca="1" si="7"/>
        <v xml:space="preserve">54 Tahun 7 Bulan 24 Hari </v>
      </c>
      <c r="T37" s="32">
        <f t="shared" ca="1" si="3"/>
        <v>494</v>
      </c>
      <c r="U37" s="30" t="str">
        <f t="shared" ca="1" si="4"/>
        <v>51-55 Tahun</v>
      </c>
      <c r="V37" s="30" t="s">
        <v>89</v>
      </c>
      <c r="W37" s="24" t="s">
        <v>90</v>
      </c>
      <c r="X37" s="26" t="s">
        <v>91</v>
      </c>
      <c r="Y37" s="24" t="s">
        <v>2</v>
      </c>
      <c r="Z37" s="24" t="s">
        <v>423</v>
      </c>
      <c r="AA37" s="24" t="s">
        <v>81</v>
      </c>
      <c r="AB37" s="24" t="s">
        <v>586</v>
      </c>
      <c r="AC37" s="26" t="s">
        <v>148</v>
      </c>
      <c r="AD37" s="51"/>
      <c r="AE37" s="24" t="s">
        <v>96</v>
      </c>
      <c r="AF37" s="24" t="str">
        <f t="shared" si="9"/>
        <v>PT Sentral Sari Jaya</v>
      </c>
      <c r="AG37" s="23" t="s">
        <v>98</v>
      </c>
      <c r="AH37" s="24" t="s">
        <v>90</v>
      </c>
      <c r="AI37" s="33">
        <v>45992</v>
      </c>
      <c r="AJ37" s="33">
        <v>46356</v>
      </c>
      <c r="AK37" s="34">
        <f t="shared" ca="1" si="8"/>
        <v>118</v>
      </c>
      <c r="AL37" s="4">
        <v>41640</v>
      </c>
      <c r="AM37" s="35">
        <v>42644</v>
      </c>
      <c r="AN37" s="24" t="s">
        <v>99</v>
      </c>
      <c r="AO37" s="24" t="s">
        <v>100</v>
      </c>
      <c r="AP37" s="24" t="s">
        <v>101</v>
      </c>
      <c r="AQ37" s="24">
        <v>30284899</v>
      </c>
      <c r="AR37" s="24">
        <v>30284899</v>
      </c>
      <c r="AS37" s="24" t="s">
        <v>102</v>
      </c>
      <c r="AT37" s="23" t="s">
        <v>587</v>
      </c>
      <c r="AU37" s="8" t="str">
        <f t="shared" si="12"/>
        <v>7201121212710001</v>
      </c>
      <c r="AV37" s="24" t="s">
        <v>104</v>
      </c>
      <c r="AW37" s="36" t="s">
        <v>105</v>
      </c>
      <c r="AX37" s="24" t="s">
        <v>106</v>
      </c>
      <c r="AY37" s="24" t="s">
        <v>107</v>
      </c>
      <c r="AZ37" s="23" t="s">
        <v>588</v>
      </c>
      <c r="BA37" s="24" t="s">
        <v>589</v>
      </c>
      <c r="BB37" s="24"/>
      <c r="BC37" s="24" t="s">
        <v>533</v>
      </c>
      <c r="BD37" s="24" t="s">
        <v>429</v>
      </c>
      <c r="BE37" s="24" t="s">
        <v>112</v>
      </c>
      <c r="BF37" s="24" t="s">
        <v>113</v>
      </c>
      <c r="BG37" s="24" t="s">
        <v>81</v>
      </c>
      <c r="BH37" s="27" t="s">
        <v>590</v>
      </c>
      <c r="BI37" s="5" t="s">
        <v>591</v>
      </c>
      <c r="BJ37" s="28" t="s">
        <v>592</v>
      </c>
      <c r="BK37" s="5" t="str">
        <f t="shared" si="11"/>
        <v>22040703989</v>
      </c>
      <c r="BL37" s="26" t="s">
        <v>593</v>
      </c>
      <c r="BM37" s="26" t="s">
        <v>594</v>
      </c>
      <c r="BN37" s="26" t="s">
        <v>119</v>
      </c>
      <c r="BO37" s="37">
        <v>46176</v>
      </c>
      <c r="BP37" s="34">
        <f t="shared" ca="1" si="10"/>
        <v>303</v>
      </c>
      <c r="BQ37" s="10" t="s">
        <v>120</v>
      </c>
      <c r="BR37" s="10" t="s">
        <v>120</v>
      </c>
      <c r="BS37" s="44"/>
      <c r="BT37" s="20" t="s">
        <v>595</v>
      </c>
    </row>
    <row r="38" spans="1:72" ht="14.25" x14ac:dyDescent="0.45">
      <c r="A38" s="26">
        <v>32</v>
      </c>
      <c r="B38" s="26" t="s">
        <v>76</v>
      </c>
      <c r="C38" s="26" t="s">
        <v>77</v>
      </c>
      <c r="D38" s="28" t="s">
        <v>596</v>
      </c>
      <c r="E38" s="28">
        <v>1141300032</v>
      </c>
      <c r="F38" s="26" t="s">
        <v>597</v>
      </c>
      <c r="G38" s="24" t="s">
        <v>124</v>
      </c>
      <c r="H38" s="24" t="s">
        <v>81</v>
      </c>
      <c r="I38" s="24" t="s">
        <v>82</v>
      </c>
      <c r="J38" s="26" t="s">
        <v>342</v>
      </c>
      <c r="K38" s="26" t="s">
        <v>84</v>
      </c>
      <c r="L38" s="19" t="s">
        <v>85</v>
      </c>
      <c r="M38" s="24" t="s">
        <v>86</v>
      </c>
      <c r="N38" s="1" t="s">
        <v>85</v>
      </c>
      <c r="O38" s="24" t="s">
        <v>125</v>
      </c>
      <c r="P38" s="26" t="s">
        <v>598</v>
      </c>
      <c r="Q38" s="29">
        <v>26497</v>
      </c>
      <c r="R38" s="30">
        <f t="shared" ca="1" si="2"/>
        <v>54</v>
      </c>
      <c r="S38" s="31" t="str">
        <f t="shared" ca="1" si="7"/>
        <v xml:space="preserve">54 Tahun 0 Bulan 19 Hari </v>
      </c>
      <c r="T38" s="32">
        <f t="shared" ca="1" si="3"/>
        <v>712</v>
      </c>
      <c r="U38" s="30" t="str">
        <f t="shared" ca="1" si="4"/>
        <v>51-55 Tahun</v>
      </c>
      <c r="V38" s="30" t="s">
        <v>89</v>
      </c>
      <c r="W38" s="24" t="s">
        <v>90</v>
      </c>
      <c r="X38" s="26" t="s">
        <v>91</v>
      </c>
      <c r="Y38" s="24" t="s">
        <v>2</v>
      </c>
      <c r="Z38" s="24" t="s">
        <v>92</v>
      </c>
      <c r="AA38" s="24" t="s">
        <v>81</v>
      </c>
      <c r="AB38" s="24" t="s">
        <v>599</v>
      </c>
      <c r="AC38" s="26" t="s">
        <v>130</v>
      </c>
      <c r="AD38" s="51"/>
      <c r="AE38" s="24" t="s">
        <v>96</v>
      </c>
      <c r="AF38" s="24" t="str">
        <f t="shared" si="9"/>
        <v>PT Sentral Sari Jaya</v>
      </c>
      <c r="AG38" s="23" t="s">
        <v>98</v>
      </c>
      <c r="AH38" s="24" t="s">
        <v>90</v>
      </c>
      <c r="AI38" s="33">
        <v>45992</v>
      </c>
      <c r="AJ38" s="33">
        <v>46356</v>
      </c>
      <c r="AK38" s="34">
        <f t="shared" ca="1" si="8"/>
        <v>118</v>
      </c>
      <c r="AL38" s="4">
        <v>41640</v>
      </c>
      <c r="AM38" s="35">
        <v>42644</v>
      </c>
      <c r="AN38" s="24" t="s">
        <v>99</v>
      </c>
      <c r="AO38" s="24" t="s">
        <v>100</v>
      </c>
      <c r="AP38" s="24" t="s">
        <v>101</v>
      </c>
      <c r="AQ38" s="24">
        <v>30284899</v>
      </c>
      <c r="AR38" s="24">
        <v>30284899</v>
      </c>
      <c r="AS38" s="24" t="s">
        <v>102</v>
      </c>
      <c r="AT38" s="23" t="s">
        <v>600</v>
      </c>
      <c r="AU38" s="8" t="str">
        <f t="shared" si="12"/>
        <v>7201091707720003</v>
      </c>
      <c r="AV38" s="24" t="s">
        <v>104</v>
      </c>
      <c r="AW38" s="36" t="s">
        <v>183</v>
      </c>
      <c r="AX38" s="24" t="s">
        <v>106</v>
      </c>
      <c r="AY38" s="24" t="s">
        <v>107</v>
      </c>
      <c r="AZ38" s="23" t="s">
        <v>601</v>
      </c>
      <c r="BA38" s="24" t="s">
        <v>602</v>
      </c>
      <c r="BB38" s="6" t="s">
        <v>603</v>
      </c>
      <c r="BC38" s="24" t="s">
        <v>604</v>
      </c>
      <c r="BD38" s="24" t="s">
        <v>343</v>
      </c>
      <c r="BE38" s="24" t="s">
        <v>112</v>
      </c>
      <c r="BF38" s="24" t="s">
        <v>113</v>
      </c>
      <c r="BG38" s="24" t="s">
        <v>81</v>
      </c>
      <c r="BH38" s="27" t="s">
        <v>605</v>
      </c>
      <c r="BI38" s="5" t="s">
        <v>606</v>
      </c>
      <c r="BJ38" s="28" t="s">
        <v>607</v>
      </c>
      <c r="BK38" s="5" t="str">
        <f t="shared" si="11"/>
        <v>22040703997</v>
      </c>
      <c r="BL38" s="26" t="s">
        <v>608</v>
      </c>
      <c r="BM38" s="26" t="s">
        <v>609</v>
      </c>
      <c r="BN38" s="26" t="s">
        <v>119</v>
      </c>
      <c r="BO38" s="37">
        <v>46181</v>
      </c>
      <c r="BP38" s="34">
        <f t="shared" ca="1" si="10"/>
        <v>308</v>
      </c>
      <c r="BQ38" s="10" t="s">
        <v>120</v>
      </c>
      <c r="BR38" s="10" t="s">
        <v>120</v>
      </c>
      <c r="BS38" s="44"/>
      <c r="BT38" s="20" t="s">
        <v>610</v>
      </c>
    </row>
    <row r="39" spans="1:72" ht="14.25" x14ac:dyDescent="0.45">
      <c r="A39" s="26">
        <v>33</v>
      </c>
      <c r="B39" s="26" t="s">
        <v>76</v>
      </c>
      <c r="C39" s="26" t="s">
        <v>77</v>
      </c>
      <c r="D39" s="28" t="s">
        <v>611</v>
      </c>
      <c r="E39" s="28">
        <v>1141300033</v>
      </c>
      <c r="F39" s="26" t="s">
        <v>612</v>
      </c>
      <c r="G39" s="24" t="s">
        <v>145</v>
      </c>
      <c r="H39" s="24" t="s">
        <v>81</v>
      </c>
      <c r="I39" s="24" t="s">
        <v>82</v>
      </c>
      <c r="J39" s="26" t="s">
        <v>342</v>
      </c>
      <c r="K39" s="26" t="s">
        <v>84</v>
      </c>
      <c r="L39" s="19" t="s">
        <v>85</v>
      </c>
      <c r="M39" s="24" t="s">
        <v>86</v>
      </c>
      <c r="N39" s="1" t="s">
        <v>85</v>
      </c>
      <c r="O39" s="24" t="s">
        <v>125</v>
      </c>
      <c r="P39" s="26" t="s">
        <v>613</v>
      </c>
      <c r="Q39" s="29">
        <v>30902</v>
      </c>
      <c r="R39" s="30">
        <f t="shared" ca="1" si="2"/>
        <v>41</v>
      </c>
      <c r="S39" s="31" t="str">
        <f t="shared" ca="1" si="7"/>
        <v xml:space="preserve">41 Tahun 11 Bulan 28 Hari </v>
      </c>
      <c r="T39" s="32">
        <f t="shared" ca="1" si="3"/>
        <v>5117</v>
      </c>
      <c r="U39" s="30" t="str">
        <f t="shared" ca="1" si="4"/>
        <v>41-45 Tahun</v>
      </c>
      <c r="V39" s="30" t="s">
        <v>89</v>
      </c>
      <c r="W39" s="24" t="s">
        <v>90</v>
      </c>
      <c r="X39" s="26" t="s">
        <v>91</v>
      </c>
      <c r="Y39" s="24" t="s">
        <v>2</v>
      </c>
      <c r="Z39" s="24" t="s">
        <v>92</v>
      </c>
      <c r="AA39" s="24" t="s">
        <v>162</v>
      </c>
      <c r="AB39" s="24" t="s">
        <v>614</v>
      </c>
      <c r="AC39" s="26" t="s">
        <v>148</v>
      </c>
      <c r="AD39" s="51"/>
      <c r="AE39" s="24" t="s">
        <v>96</v>
      </c>
      <c r="AF39" s="24" t="str">
        <f t="shared" si="9"/>
        <v>PT Sentral Sari Jaya</v>
      </c>
      <c r="AG39" s="23" t="s">
        <v>98</v>
      </c>
      <c r="AH39" s="24" t="s">
        <v>90</v>
      </c>
      <c r="AI39" s="33">
        <v>45992</v>
      </c>
      <c r="AJ39" s="33">
        <v>46356</v>
      </c>
      <c r="AK39" s="34">
        <f t="shared" ca="1" si="8"/>
        <v>118</v>
      </c>
      <c r="AL39" s="4">
        <v>41640</v>
      </c>
      <c r="AM39" s="35">
        <v>44501</v>
      </c>
      <c r="AN39" s="24" t="s">
        <v>99</v>
      </c>
      <c r="AO39" s="24" t="s">
        <v>100</v>
      </c>
      <c r="AP39" s="24" t="s">
        <v>101</v>
      </c>
      <c r="AQ39" s="24">
        <v>30284899</v>
      </c>
      <c r="AR39" s="24">
        <v>30284899</v>
      </c>
      <c r="AS39" s="24" t="s">
        <v>102</v>
      </c>
      <c r="AT39" s="23" t="s">
        <v>615</v>
      </c>
      <c r="AU39" s="8" t="str">
        <f t="shared" si="12"/>
        <v>7201090808840003</v>
      </c>
      <c r="AV39" s="24" t="s">
        <v>104</v>
      </c>
      <c r="AW39" s="36" t="s">
        <v>165</v>
      </c>
      <c r="AX39" s="24" t="s">
        <v>106</v>
      </c>
      <c r="AY39" s="24" t="s">
        <v>107</v>
      </c>
      <c r="AZ39" s="23" t="s">
        <v>616</v>
      </c>
      <c r="BA39" s="24" t="s">
        <v>617</v>
      </c>
      <c r="BB39" s="24"/>
      <c r="BC39" s="24" t="s">
        <v>618</v>
      </c>
      <c r="BD39" s="24" t="s">
        <v>343</v>
      </c>
      <c r="BE39" s="24" t="s">
        <v>112</v>
      </c>
      <c r="BF39" s="24" t="s">
        <v>113</v>
      </c>
      <c r="BG39" s="24" t="s">
        <v>81</v>
      </c>
      <c r="BH39" s="27" t="s">
        <v>619</v>
      </c>
      <c r="BI39" s="5" t="s">
        <v>620</v>
      </c>
      <c r="BJ39" s="28" t="s">
        <v>621</v>
      </c>
      <c r="BK39" s="5" t="str">
        <f t="shared" si="11"/>
        <v>22026728315</v>
      </c>
      <c r="BL39" s="28" t="s">
        <v>622</v>
      </c>
      <c r="BM39" s="26" t="s">
        <v>623</v>
      </c>
      <c r="BN39" s="26" t="s">
        <v>119</v>
      </c>
      <c r="BO39" s="37">
        <v>46181</v>
      </c>
      <c r="BP39" s="34">
        <f t="shared" ca="1" si="10"/>
        <v>308</v>
      </c>
      <c r="BQ39" s="10" t="s">
        <v>120</v>
      </c>
      <c r="BR39" s="10" t="s">
        <v>120</v>
      </c>
      <c r="BS39" s="44"/>
      <c r="BT39" s="20" t="s">
        <v>624</v>
      </c>
    </row>
    <row r="40" spans="1:72" ht="14.25" x14ac:dyDescent="0.45">
      <c r="A40" s="26">
        <v>34</v>
      </c>
      <c r="B40" s="26" t="s">
        <v>76</v>
      </c>
      <c r="C40" s="26" t="s">
        <v>77</v>
      </c>
      <c r="D40" s="28" t="s">
        <v>625</v>
      </c>
      <c r="E40" s="28">
        <v>1141300034</v>
      </c>
      <c r="F40" s="26" t="s">
        <v>626</v>
      </c>
      <c r="G40" s="24" t="s">
        <v>124</v>
      </c>
      <c r="H40" s="24" t="s">
        <v>81</v>
      </c>
      <c r="I40" s="24" t="s">
        <v>82</v>
      </c>
      <c r="J40" s="26" t="s">
        <v>342</v>
      </c>
      <c r="K40" s="26" t="s">
        <v>84</v>
      </c>
      <c r="L40" s="19" t="s">
        <v>85</v>
      </c>
      <c r="M40" s="24" t="s">
        <v>272</v>
      </c>
      <c r="N40" s="1" t="s">
        <v>85</v>
      </c>
      <c r="O40" s="24" t="s">
        <v>125</v>
      </c>
      <c r="P40" s="26" t="s">
        <v>627</v>
      </c>
      <c r="Q40" s="29">
        <v>33682</v>
      </c>
      <c r="R40" s="30">
        <f t="shared" ca="1" si="2"/>
        <v>34</v>
      </c>
      <c r="S40" s="31" t="str">
        <f t="shared" ca="1" si="7"/>
        <v xml:space="preserve">34 Tahun 4 Bulan 17 Hari </v>
      </c>
      <c r="T40" s="32">
        <f t="shared" ca="1" si="3"/>
        <v>7897</v>
      </c>
      <c r="U40" s="30" t="str">
        <f t="shared" ca="1" si="4"/>
        <v>31-35 Tahun</v>
      </c>
      <c r="V40" s="30" t="s">
        <v>89</v>
      </c>
      <c r="W40" s="24" t="s">
        <v>90</v>
      </c>
      <c r="X40" s="26" t="s">
        <v>91</v>
      </c>
      <c r="Y40" s="24" t="s">
        <v>2</v>
      </c>
      <c r="Z40" s="24" t="s">
        <v>179</v>
      </c>
      <c r="AA40" s="24" t="s">
        <v>628</v>
      </c>
      <c r="AB40" s="24" t="s">
        <v>494</v>
      </c>
      <c r="AC40" s="26" t="s">
        <v>130</v>
      </c>
      <c r="AD40" s="51"/>
      <c r="AE40" s="24" t="s">
        <v>96</v>
      </c>
      <c r="AF40" s="24" t="str">
        <f t="shared" si="9"/>
        <v>PT Sentral Sari Jaya</v>
      </c>
      <c r="AG40" s="23" t="s">
        <v>98</v>
      </c>
      <c r="AH40" s="24" t="s">
        <v>90</v>
      </c>
      <c r="AI40" s="33">
        <v>45992</v>
      </c>
      <c r="AJ40" s="33">
        <v>46356</v>
      </c>
      <c r="AK40" s="34">
        <f t="shared" ca="1" si="8"/>
        <v>118</v>
      </c>
      <c r="AL40" s="4">
        <v>41640</v>
      </c>
      <c r="AM40" s="35">
        <v>44470</v>
      </c>
      <c r="AN40" s="24" t="s">
        <v>99</v>
      </c>
      <c r="AO40" s="24" t="s">
        <v>100</v>
      </c>
      <c r="AP40" s="24" t="s">
        <v>101</v>
      </c>
      <c r="AQ40" s="24">
        <v>30284899</v>
      </c>
      <c r="AR40" s="24">
        <v>30284899</v>
      </c>
      <c r="AS40" s="24" t="s">
        <v>102</v>
      </c>
      <c r="AT40" s="23" t="s">
        <v>629</v>
      </c>
      <c r="AU40" s="8" t="str">
        <f t="shared" si="12"/>
        <v>7201121903920001</v>
      </c>
      <c r="AV40" s="24" t="s">
        <v>104</v>
      </c>
      <c r="AW40" s="36" t="s">
        <v>105</v>
      </c>
      <c r="AX40" s="24" t="s">
        <v>106</v>
      </c>
      <c r="AY40" s="24" t="s">
        <v>198</v>
      </c>
      <c r="AZ40" s="23" t="s">
        <v>630</v>
      </c>
      <c r="BA40" s="24" t="s">
        <v>631</v>
      </c>
      <c r="BB40" s="6" t="s">
        <v>632</v>
      </c>
      <c r="BC40" s="24" t="s">
        <v>633</v>
      </c>
      <c r="BD40" s="24" t="s">
        <v>429</v>
      </c>
      <c r="BE40" s="24" t="s">
        <v>112</v>
      </c>
      <c r="BF40" s="24" t="s">
        <v>113</v>
      </c>
      <c r="BG40" s="24" t="s">
        <v>81</v>
      </c>
      <c r="BH40" s="27" t="s">
        <v>634</v>
      </c>
      <c r="BI40" s="5" t="s">
        <v>635</v>
      </c>
      <c r="BJ40" s="28" t="s">
        <v>636</v>
      </c>
      <c r="BK40" s="5" t="str">
        <f t="shared" si="11"/>
        <v>22026728265</v>
      </c>
      <c r="BL40" s="26" t="s">
        <v>637</v>
      </c>
      <c r="BM40" s="26" t="s">
        <v>638</v>
      </c>
      <c r="BN40" s="26" t="s">
        <v>119</v>
      </c>
      <c r="BO40" s="37">
        <v>46176</v>
      </c>
      <c r="BP40" s="34">
        <f t="shared" ca="1" si="10"/>
        <v>303</v>
      </c>
      <c r="BQ40" s="10" t="s">
        <v>120</v>
      </c>
      <c r="BR40" s="10" t="s">
        <v>120</v>
      </c>
      <c r="BS40" s="44"/>
      <c r="BT40" s="20" t="s">
        <v>639</v>
      </c>
    </row>
    <row r="41" spans="1:72" ht="14.25" x14ac:dyDescent="0.45">
      <c r="A41" s="26">
        <v>35</v>
      </c>
      <c r="B41" s="26" t="s">
        <v>76</v>
      </c>
      <c r="C41" s="26" t="s">
        <v>77</v>
      </c>
      <c r="D41" s="28" t="s">
        <v>640</v>
      </c>
      <c r="E41" s="26">
        <v>1141300065</v>
      </c>
      <c r="F41" s="26" t="s">
        <v>641</v>
      </c>
      <c r="G41" s="24" t="s">
        <v>145</v>
      </c>
      <c r="H41" s="24" t="s">
        <v>81</v>
      </c>
      <c r="I41" s="24" t="s">
        <v>82</v>
      </c>
      <c r="J41" s="26" t="s">
        <v>342</v>
      </c>
      <c r="K41" s="26" t="s">
        <v>84</v>
      </c>
      <c r="L41" s="19" t="s">
        <v>85</v>
      </c>
      <c r="M41" s="24" t="s">
        <v>272</v>
      </c>
      <c r="N41" s="1" t="s">
        <v>85</v>
      </c>
      <c r="O41" s="24" t="s">
        <v>125</v>
      </c>
      <c r="P41" s="26" t="s">
        <v>642</v>
      </c>
      <c r="Q41" s="29">
        <v>33957</v>
      </c>
      <c r="R41" s="30">
        <f t="shared" ca="1" si="2"/>
        <v>33</v>
      </c>
      <c r="S41" s="31" t="str">
        <f t="shared" ca="1" si="7"/>
        <v xml:space="preserve">33 Tahun 7 Bulan 17 Hari </v>
      </c>
      <c r="T41" s="32">
        <f t="shared" ca="1" si="3"/>
        <v>8172</v>
      </c>
      <c r="U41" s="30" t="str">
        <f t="shared" ca="1" si="4"/>
        <v>31-35 Tahun</v>
      </c>
      <c r="V41" s="30" t="s">
        <v>89</v>
      </c>
      <c r="W41" s="24" t="s">
        <v>90</v>
      </c>
      <c r="X41" s="26" t="s">
        <v>91</v>
      </c>
      <c r="Y41" s="24" t="s">
        <v>2</v>
      </c>
      <c r="Z41" s="24" t="s">
        <v>179</v>
      </c>
      <c r="AA41" s="24" t="s">
        <v>643</v>
      </c>
      <c r="AB41" s="24" t="s">
        <v>644</v>
      </c>
      <c r="AC41" s="26" t="s">
        <v>148</v>
      </c>
      <c r="AD41" s="51"/>
      <c r="AE41" s="24" t="s">
        <v>96</v>
      </c>
      <c r="AF41" s="24" t="str">
        <f t="shared" si="9"/>
        <v>PT Sentral Sari Jaya</v>
      </c>
      <c r="AG41" s="23" t="s">
        <v>98</v>
      </c>
      <c r="AH41" s="24" t="s">
        <v>90</v>
      </c>
      <c r="AI41" s="33">
        <v>45992</v>
      </c>
      <c r="AJ41" s="33">
        <v>46356</v>
      </c>
      <c r="AK41" s="34">
        <f t="shared" ca="1" si="8"/>
        <v>118</v>
      </c>
      <c r="AL41" s="4">
        <v>41640</v>
      </c>
      <c r="AM41" s="35">
        <v>44470</v>
      </c>
      <c r="AN41" s="24" t="s">
        <v>99</v>
      </c>
      <c r="AO41" s="24" t="s">
        <v>100</v>
      </c>
      <c r="AP41" s="24" t="s">
        <v>101</v>
      </c>
      <c r="AQ41" s="24">
        <v>30284899</v>
      </c>
      <c r="AR41" s="24">
        <v>30284899</v>
      </c>
      <c r="AS41" s="24" t="s">
        <v>102</v>
      </c>
      <c r="AT41" s="23" t="s">
        <v>645</v>
      </c>
      <c r="AU41" s="8" t="str">
        <f t="shared" si="12"/>
        <v>7201091912920001</v>
      </c>
      <c r="AV41" s="24" t="s">
        <v>104</v>
      </c>
      <c r="AW41" s="36" t="s">
        <v>165</v>
      </c>
      <c r="AX41" s="24" t="s">
        <v>106</v>
      </c>
      <c r="AY41" s="24" t="s">
        <v>646</v>
      </c>
      <c r="AZ41" s="23" t="s">
        <v>647</v>
      </c>
      <c r="BA41" s="24" t="s">
        <v>648</v>
      </c>
      <c r="BB41" s="24"/>
      <c r="BC41" s="24" t="s">
        <v>649</v>
      </c>
      <c r="BD41" s="24" t="s">
        <v>343</v>
      </c>
      <c r="BE41" s="24" t="s">
        <v>112</v>
      </c>
      <c r="BF41" s="24" t="s">
        <v>113</v>
      </c>
      <c r="BG41" s="24" t="s">
        <v>81</v>
      </c>
      <c r="BH41" s="27" t="s">
        <v>650</v>
      </c>
      <c r="BI41" s="5" t="s">
        <v>651</v>
      </c>
      <c r="BJ41" s="28" t="s">
        <v>652</v>
      </c>
      <c r="BK41" s="5" t="str">
        <f t="shared" si="11"/>
        <v>22048369049</v>
      </c>
      <c r="BL41" s="26" t="s">
        <v>653</v>
      </c>
      <c r="BM41" s="26" t="s">
        <v>654</v>
      </c>
      <c r="BN41" s="26" t="s">
        <v>119</v>
      </c>
      <c r="BO41" s="37">
        <v>46181</v>
      </c>
      <c r="BP41" s="34">
        <f t="shared" ca="1" si="10"/>
        <v>308</v>
      </c>
      <c r="BQ41" s="10" t="s">
        <v>120</v>
      </c>
      <c r="BR41" s="10" t="s">
        <v>120</v>
      </c>
      <c r="BS41" s="44"/>
      <c r="BT41" s="20" t="s">
        <v>655</v>
      </c>
    </row>
    <row r="42" spans="1:72" ht="14.25" x14ac:dyDescent="0.45">
      <c r="A42" s="26">
        <v>36</v>
      </c>
      <c r="B42" s="26" t="s">
        <v>76</v>
      </c>
      <c r="C42" s="26" t="s">
        <v>77</v>
      </c>
      <c r="D42" s="28" t="s">
        <v>656</v>
      </c>
      <c r="E42" s="28">
        <v>1141300036</v>
      </c>
      <c r="F42" s="26" t="s">
        <v>657</v>
      </c>
      <c r="G42" s="24" t="s">
        <v>145</v>
      </c>
      <c r="H42" s="24" t="s">
        <v>81</v>
      </c>
      <c r="I42" s="24" t="s">
        <v>82</v>
      </c>
      <c r="J42" s="26" t="s">
        <v>342</v>
      </c>
      <c r="K42" s="26" t="s">
        <v>84</v>
      </c>
      <c r="L42" s="19" t="s">
        <v>85</v>
      </c>
      <c r="M42" s="24" t="s">
        <v>272</v>
      </c>
      <c r="N42" s="1" t="s">
        <v>85</v>
      </c>
      <c r="O42" s="24" t="s">
        <v>125</v>
      </c>
      <c r="P42" s="26" t="s">
        <v>627</v>
      </c>
      <c r="Q42" s="29">
        <v>33211</v>
      </c>
      <c r="R42" s="30">
        <f t="shared" ca="1" si="2"/>
        <v>35</v>
      </c>
      <c r="S42" s="31" t="str">
        <f t="shared" ca="1" si="7"/>
        <v xml:space="preserve">35 Tahun 8 Bulan 1 Hari </v>
      </c>
      <c r="T42" s="32">
        <f t="shared" ca="1" si="3"/>
        <v>7426</v>
      </c>
      <c r="U42" s="30" t="str">
        <f t="shared" ca="1" si="4"/>
        <v>31-35 Tahun</v>
      </c>
      <c r="V42" s="30" t="s">
        <v>89</v>
      </c>
      <c r="W42" s="24" t="s">
        <v>90</v>
      </c>
      <c r="X42" s="26" t="s">
        <v>91</v>
      </c>
      <c r="Y42" s="24" t="s">
        <v>2</v>
      </c>
      <c r="Z42" s="24" t="s">
        <v>92</v>
      </c>
      <c r="AA42" s="24" t="s">
        <v>162</v>
      </c>
      <c r="AB42" s="24" t="s">
        <v>658</v>
      </c>
      <c r="AC42" s="26" t="s">
        <v>148</v>
      </c>
      <c r="AD42" s="51"/>
      <c r="AE42" s="24" t="s">
        <v>96</v>
      </c>
      <c r="AF42" s="24" t="str">
        <f t="shared" si="9"/>
        <v>PT Sentral Sari Jaya</v>
      </c>
      <c r="AG42" s="23" t="s">
        <v>98</v>
      </c>
      <c r="AH42" s="24" t="s">
        <v>90</v>
      </c>
      <c r="AI42" s="33">
        <v>45992</v>
      </c>
      <c r="AJ42" s="33">
        <v>46356</v>
      </c>
      <c r="AK42" s="34">
        <f t="shared" ca="1" si="8"/>
        <v>118</v>
      </c>
      <c r="AL42" s="4">
        <v>41640</v>
      </c>
      <c r="AM42" s="35">
        <v>42644</v>
      </c>
      <c r="AN42" s="24" t="s">
        <v>99</v>
      </c>
      <c r="AO42" s="24" t="s">
        <v>100</v>
      </c>
      <c r="AP42" s="24" t="s">
        <v>101</v>
      </c>
      <c r="AQ42" s="24">
        <v>30284899</v>
      </c>
      <c r="AR42" s="24">
        <v>30284899</v>
      </c>
      <c r="AS42" s="24" t="s">
        <v>102</v>
      </c>
      <c r="AT42" s="23" t="s">
        <v>659</v>
      </c>
      <c r="AU42" s="8" t="str">
        <f t="shared" si="12"/>
        <v>7201120412900002</v>
      </c>
      <c r="AV42" s="24" t="s">
        <v>104</v>
      </c>
      <c r="AW42" s="36" t="s">
        <v>165</v>
      </c>
      <c r="AX42" s="24" t="s">
        <v>106</v>
      </c>
      <c r="AY42" s="24" t="s">
        <v>198</v>
      </c>
      <c r="AZ42" s="23" t="s">
        <v>660</v>
      </c>
      <c r="BA42" s="24" t="s">
        <v>661</v>
      </c>
      <c r="BB42" s="24"/>
      <c r="BC42" s="24" t="s">
        <v>633</v>
      </c>
      <c r="BD42" s="24" t="s">
        <v>429</v>
      </c>
      <c r="BE42" s="24" t="s">
        <v>112</v>
      </c>
      <c r="BF42" s="24" t="s">
        <v>113</v>
      </c>
      <c r="BG42" s="24" t="s">
        <v>81</v>
      </c>
      <c r="BH42" s="27" t="s">
        <v>662</v>
      </c>
      <c r="BI42" s="5" t="s">
        <v>663</v>
      </c>
      <c r="BJ42" s="28" t="s">
        <v>664</v>
      </c>
      <c r="BK42" s="5" t="str">
        <f t="shared" si="11"/>
        <v>22040703856</v>
      </c>
      <c r="BL42" s="28" t="s">
        <v>665</v>
      </c>
      <c r="BM42" s="26" t="s">
        <v>666</v>
      </c>
      <c r="BN42" s="26" t="s">
        <v>119</v>
      </c>
      <c r="BO42" s="37">
        <v>46176</v>
      </c>
      <c r="BP42" s="34">
        <f t="shared" ca="1" si="10"/>
        <v>303</v>
      </c>
      <c r="BQ42" s="10" t="s">
        <v>120</v>
      </c>
      <c r="BR42" s="10" t="s">
        <v>120</v>
      </c>
      <c r="BS42" s="44"/>
      <c r="BT42" s="20" t="s">
        <v>667</v>
      </c>
    </row>
    <row r="43" spans="1:72" ht="14.25" x14ac:dyDescent="0.45">
      <c r="A43" s="26">
        <v>37</v>
      </c>
      <c r="B43" s="26" t="s">
        <v>76</v>
      </c>
      <c r="C43" s="26" t="s">
        <v>77</v>
      </c>
      <c r="D43" s="28" t="s">
        <v>668</v>
      </c>
      <c r="E43" s="28">
        <v>1141300037</v>
      </c>
      <c r="F43" s="26" t="s">
        <v>669</v>
      </c>
      <c r="G43" s="24" t="s">
        <v>124</v>
      </c>
      <c r="H43" s="24" t="s">
        <v>81</v>
      </c>
      <c r="I43" s="24" t="s">
        <v>82</v>
      </c>
      <c r="J43" s="26" t="s">
        <v>342</v>
      </c>
      <c r="K43" s="26" t="s">
        <v>84</v>
      </c>
      <c r="L43" s="19" t="s">
        <v>85</v>
      </c>
      <c r="M43" s="24" t="s">
        <v>272</v>
      </c>
      <c r="N43" s="1" t="s">
        <v>85</v>
      </c>
      <c r="O43" s="24" t="s">
        <v>125</v>
      </c>
      <c r="P43" s="26" t="s">
        <v>627</v>
      </c>
      <c r="Q43" s="29">
        <v>32704</v>
      </c>
      <c r="R43" s="30">
        <f t="shared" ca="1" si="2"/>
        <v>37</v>
      </c>
      <c r="S43" s="31" t="str">
        <f t="shared" ca="1" si="7"/>
        <v xml:space="preserve">37 Tahun 0 Bulan 21 Hari </v>
      </c>
      <c r="T43" s="32">
        <f t="shared" ca="1" si="3"/>
        <v>6919</v>
      </c>
      <c r="U43" s="30" t="str">
        <f t="shared" ca="1" si="4"/>
        <v>36-40 Tahun</v>
      </c>
      <c r="V43" s="30" t="s">
        <v>89</v>
      </c>
      <c r="W43" s="24" t="s">
        <v>90</v>
      </c>
      <c r="X43" s="26" t="s">
        <v>91</v>
      </c>
      <c r="Y43" s="24" t="s">
        <v>2</v>
      </c>
      <c r="Z43" s="24" t="s">
        <v>127</v>
      </c>
      <c r="AA43" s="24" t="s">
        <v>514</v>
      </c>
      <c r="AB43" s="24" t="s">
        <v>515</v>
      </c>
      <c r="AC43" s="26" t="s">
        <v>130</v>
      </c>
      <c r="AD43" s="51"/>
      <c r="AE43" s="24" t="s">
        <v>96</v>
      </c>
      <c r="AF43" s="24" t="str">
        <f t="shared" si="9"/>
        <v>PT Sentral Sari Jaya</v>
      </c>
      <c r="AG43" s="23" t="s">
        <v>98</v>
      </c>
      <c r="AH43" s="24" t="s">
        <v>90</v>
      </c>
      <c r="AI43" s="33">
        <v>45992</v>
      </c>
      <c r="AJ43" s="33">
        <v>46356</v>
      </c>
      <c r="AK43" s="34">
        <f t="shared" ca="1" si="8"/>
        <v>118</v>
      </c>
      <c r="AL43" s="4">
        <v>41640</v>
      </c>
      <c r="AM43" s="35">
        <v>43497</v>
      </c>
      <c r="AN43" s="24" t="s">
        <v>99</v>
      </c>
      <c r="AO43" s="24" t="s">
        <v>100</v>
      </c>
      <c r="AP43" s="24" t="s">
        <v>101</v>
      </c>
      <c r="AQ43" s="24">
        <v>30284899</v>
      </c>
      <c r="AR43" s="24">
        <v>30284899</v>
      </c>
      <c r="AS43" s="24" t="s">
        <v>102</v>
      </c>
      <c r="AT43" s="23" t="s">
        <v>670</v>
      </c>
      <c r="AU43" s="8" t="str">
        <f t="shared" si="12"/>
        <v>7201121507890002</v>
      </c>
      <c r="AV43" s="24" t="s">
        <v>104</v>
      </c>
      <c r="AW43" s="36" t="s">
        <v>105</v>
      </c>
      <c r="AX43" s="24" t="s">
        <v>106</v>
      </c>
      <c r="AY43" s="24" t="s">
        <v>198</v>
      </c>
      <c r="AZ43" s="23" t="s">
        <v>671</v>
      </c>
      <c r="BA43" s="24" t="s">
        <v>672</v>
      </c>
      <c r="BB43" s="6" t="s">
        <v>673</v>
      </c>
      <c r="BC43" s="24" t="s">
        <v>633</v>
      </c>
      <c r="BD43" s="24" t="s">
        <v>429</v>
      </c>
      <c r="BE43" s="24" t="s">
        <v>112</v>
      </c>
      <c r="BF43" s="24" t="s">
        <v>113</v>
      </c>
      <c r="BG43" s="24" t="s">
        <v>81</v>
      </c>
      <c r="BH43" s="27" t="s">
        <v>674</v>
      </c>
      <c r="BI43" s="5" t="s">
        <v>675</v>
      </c>
      <c r="BJ43" s="28" t="s">
        <v>676</v>
      </c>
      <c r="BK43" s="5" t="str">
        <f t="shared" si="11"/>
        <v>'22026728257</v>
      </c>
      <c r="BL43" s="26" t="s">
        <v>677</v>
      </c>
      <c r="BM43" s="26" t="s">
        <v>678</v>
      </c>
      <c r="BN43" s="26" t="s">
        <v>119</v>
      </c>
      <c r="BO43" s="37">
        <v>46167</v>
      </c>
      <c r="BP43" s="34">
        <f t="shared" ca="1" si="10"/>
        <v>294</v>
      </c>
      <c r="BQ43" s="10" t="s">
        <v>120</v>
      </c>
      <c r="BR43" s="10" t="s">
        <v>120</v>
      </c>
      <c r="BS43" s="44"/>
      <c r="BT43" s="20" t="s">
        <v>679</v>
      </c>
    </row>
    <row r="44" spans="1:72" ht="14.25" x14ac:dyDescent="0.45">
      <c r="A44" s="26">
        <v>38</v>
      </c>
      <c r="B44" s="26" t="s">
        <v>76</v>
      </c>
      <c r="C44" s="26" t="s">
        <v>77</v>
      </c>
      <c r="D44" s="28" t="s">
        <v>680</v>
      </c>
      <c r="E44" s="28">
        <v>1141300038</v>
      </c>
      <c r="F44" s="26" t="s">
        <v>681</v>
      </c>
      <c r="G44" s="24" t="s">
        <v>80</v>
      </c>
      <c r="H44" s="24" t="s">
        <v>81</v>
      </c>
      <c r="I44" s="24" t="s">
        <v>82</v>
      </c>
      <c r="J44" s="26" t="s">
        <v>342</v>
      </c>
      <c r="K44" s="26" t="s">
        <v>84</v>
      </c>
      <c r="L44" s="19" t="s">
        <v>85</v>
      </c>
      <c r="M44" s="24" t="s">
        <v>86</v>
      </c>
      <c r="N44" s="1" t="s">
        <v>85</v>
      </c>
      <c r="O44" s="24" t="s">
        <v>87</v>
      </c>
      <c r="P44" s="26" t="s">
        <v>682</v>
      </c>
      <c r="Q44" s="29">
        <v>27743</v>
      </c>
      <c r="R44" s="30">
        <f t="shared" ca="1" si="2"/>
        <v>50</v>
      </c>
      <c r="S44" s="31" t="str">
        <f t="shared" ca="1" si="7"/>
        <v xml:space="preserve">50 Tahun 7 Bulan 21 Hari </v>
      </c>
      <c r="T44" s="32">
        <f t="shared" ca="1" si="3"/>
        <v>1958</v>
      </c>
      <c r="U44" s="30" t="str">
        <f t="shared" ca="1" si="4"/>
        <v>46-50 Tahun</v>
      </c>
      <c r="V44" s="30" t="s">
        <v>89</v>
      </c>
      <c r="W44" s="24" t="s">
        <v>90</v>
      </c>
      <c r="X44" s="26" t="s">
        <v>91</v>
      </c>
      <c r="Y44" s="24" t="s">
        <v>2</v>
      </c>
      <c r="Z44" s="24" t="s">
        <v>423</v>
      </c>
      <c r="AA44" s="24" t="s">
        <v>81</v>
      </c>
      <c r="AB44" s="24" t="s">
        <v>683</v>
      </c>
      <c r="AC44" s="26" t="s">
        <v>95</v>
      </c>
      <c r="AD44" s="51"/>
      <c r="AE44" s="24" t="s">
        <v>96</v>
      </c>
      <c r="AF44" s="24" t="str">
        <f t="shared" si="9"/>
        <v>PT Sentral Sari Jaya</v>
      </c>
      <c r="AG44" s="23" t="s">
        <v>98</v>
      </c>
      <c r="AH44" s="24" t="s">
        <v>90</v>
      </c>
      <c r="AI44" s="33">
        <v>45992</v>
      </c>
      <c r="AJ44" s="33">
        <v>46356</v>
      </c>
      <c r="AK44" s="34">
        <f t="shared" ca="1" si="8"/>
        <v>118</v>
      </c>
      <c r="AL44" s="4">
        <v>41640</v>
      </c>
      <c r="AM44" s="35">
        <v>43040</v>
      </c>
      <c r="AN44" s="24" t="s">
        <v>99</v>
      </c>
      <c r="AO44" s="24" t="s">
        <v>100</v>
      </c>
      <c r="AP44" s="24" t="s">
        <v>101</v>
      </c>
      <c r="AQ44" s="24">
        <v>30284899</v>
      </c>
      <c r="AR44" s="24">
        <v>30284899</v>
      </c>
      <c r="AS44" s="24" t="s">
        <v>102</v>
      </c>
      <c r="AT44" s="23" t="s">
        <v>684</v>
      </c>
      <c r="AU44" s="8" t="str">
        <f t="shared" si="12"/>
        <v>7201091512750003</v>
      </c>
      <c r="AV44" s="24" t="s">
        <v>104</v>
      </c>
      <c r="AW44" s="36" t="s">
        <v>105</v>
      </c>
      <c r="AX44" s="24" t="s">
        <v>106</v>
      </c>
      <c r="AY44" s="24" t="s">
        <v>107</v>
      </c>
      <c r="AZ44" s="23" t="s">
        <v>685</v>
      </c>
      <c r="BA44" s="24" t="s">
        <v>686</v>
      </c>
      <c r="BB44" s="24"/>
      <c r="BC44" s="24" t="s">
        <v>687</v>
      </c>
      <c r="BD44" s="24" t="s">
        <v>343</v>
      </c>
      <c r="BE44" s="24" t="s">
        <v>112</v>
      </c>
      <c r="BF44" s="24" t="s">
        <v>113</v>
      </c>
      <c r="BG44" s="24" t="s">
        <v>81</v>
      </c>
      <c r="BH44" s="27" t="s">
        <v>688</v>
      </c>
      <c r="BI44" s="5" t="s">
        <v>689</v>
      </c>
      <c r="BJ44" s="28" t="s">
        <v>690</v>
      </c>
      <c r="BK44" s="5" t="str">
        <f t="shared" si="11"/>
        <v>22026728331</v>
      </c>
      <c r="BL44" s="26" t="s">
        <v>691</v>
      </c>
      <c r="BM44" s="26" t="s">
        <v>692</v>
      </c>
      <c r="BN44" s="26" t="s">
        <v>119</v>
      </c>
      <c r="BO44" s="37">
        <v>46176</v>
      </c>
      <c r="BP44" s="34">
        <f t="shared" ca="1" si="10"/>
        <v>303</v>
      </c>
      <c r="BQ44" s="10" t="s">
        <v>120</v>
      </c>
      <c r="BR44" s="10" t="s">
        <v>120</v>
      </c>
      <c r="BS44" s="44"/>
      <c r="BT44" s="20" t="s">
        <v>693</v>
      </c>
    </row>
    <row r="45" spans="1:72" ht="14.25" x14ac:dyDescent="0.45">
      <c r="A45" s="26">
        <v>39</v>
      </c>
      <c r="B45" s="26" t="s">
        <v>76</v>
      </c>
      <c r="C45" s="26" t="s">
        <v>77</v>
      </c>
      <c r="D45" s="28" t="s">
        <v>694</v>
      </c>
      <c r="E45" s="28">
        <v>1141300039</v>
      </c>
      <c r="F45" s="26" t="s">
        <v>695</v>
      </c>
      <c r="G45" s="24" t="s">
        <v>145</v>
      </c>
      <c r="H45" s="24" t="s">
        <v>81</v>
      </c>
      <c r="I45" s="24" t="s">
        <v>82</v>
      </c>
      <c r="J45" s="26" t="s">
        <v>342</v>
      </c>
      <c r="K45" s="26" t="s">
        <v>84</v>
      </c>
      <c r="L45" s="19" t="s">
        <v>85</v>
      </c>
      <c r="M45" s="24" t="s">
        <v>86</v>
      </c>
      <c r="N45" s="1" t="s">
        <v>85</v>
      </c>
      <c r="O45" s="24" t="s">
        <v>125</v>
      </c>
      <c r="P45" s="26" t="s">
        <v>696</v>
      </c>
      <c r="Q45" s="29">
        <v>27808</v>
      </c>
      <c r="R45" s="30">
        <f t="shared" ca="1" si="2"/>
        <v>50</v>
      </c>
      <c r="S45" s="31" t="str">
        <f t="shared" ca="1" si="7"/>
        <v xml:space="preserve">50 Tahun 5 Bulan 18 Hari </v>
      </c>
      <c r="T45" s="32">
        <f t="shared" ca="1" si="3"/>
        <v>2023</v>
      </c>
      <c r="U45" s="30" t="str">
        <f t="shared" ca="1" si="4"/>
        <v>46-50 Tahun</v>
      </c>
      <c r="V45" s="30" t="s">
        <v>89</v>
      </c>
      <c r="W45" s="24" t="s">
        <v>90</v>
      </c>
      <c r="X45" s="26" t="s">
        <v>91</v>
      </c>
      <c r="Y45" s="24" t="s">
        <v>2</v>
      </c>
      <c r="Z45" s="24" t="s">
        <v>92</v>
      </c>
      <c r="AA45" s="24" t="s">
        <v>81</v>
      </c>
      <c r="AB45" s="24" t="s">
        <v>163</v>
      </c>
      <c r="AC45" s="26" t="s">
        <v>148</v>
      </c>
      <c r="AD45" s="51"/>
      <c r="AE45" s="24" t="s">
        <v>96</v>
      </c>
      <c r="AF45" s="24" t="str">
        <f t="shared" si="9"/>
        <v>PT Sentral Sari Jaya</v>
      </c>
      <c r="AG45" s="23" t="s">
        <v>98</v>
      </c>
      <c r="AH45" s="24" t="s">
        <v>90</v>
      </c>
      <c r="AI45" s="33">
        <v>45992</v>
      </c>
      <c r="AJ45" s="33">
        <v>46356</v>
      </c>
      <c r="AK45" s="34">
        <f t="shared" ca="1" si="8"/>
        <v>118</v>
      </c>
      <c r="AL45" s="4">
        <v>41640</v>
      </c>
      <c r="AM45" s="35">
        <v>44007</v>
      </c>
      <c r="AN45" s="24" t="s">
        <v>99</v>
      </c>
      <c r="AO45" s="24" t="s">
        <v>100</v>
      </c>
      <c r="AP45" s="24" t="s">
        <v>101</v>
      </c>
      <c r="AQ45" s="24">
        <v>30284899</v>
      </c>
      <c r="AR45" s="24">
        <v>30284899</v>
      </c>
      <c r="AS45" s="24" t="s">
        <v>102</v>
      </c>
      <c r="AT45" s="23" t="s">
        <v>697</v>
      </c>
      <c r="AU45" s="8" t="str">
        <f t="shared" si="12"/>
        <v>7201121802760001</v>
      </c>
      <c r="AV45" s="24" t="s">
        <v>104</v>
      </c>
      <c r="AW45" s="36" t="s">
        <v>183</v>
      </c>
      <c r="AX45" s="24" t="s">
        <v>106</v>
      </c>
      <c r="AY45" s="24" t="s">
        <v>646</v>
      </c>
      <c r="AZ45" s="23" t="s">
        <v>698</v>
      </c>
      <c r="BA45" s="24" t="s">
        <v>699</v>
      </c>
      <c r="BB45" s="24"/>
      <c r="BC45" s="24" t="s">
        <v>700</v>
      </c>
      <c r="BD45" s="24" t="s">
        <v>429</v>
      </c>
      <c r="BE45" s="24" t="s">
        <v>112</v>
      </c>
      <c r="BF45" s="24" t="s">
        <v>113</v>
      </c>
      <c r="BG45" s="24" t="s">
        <v>81</v>
      </c>
      <c r="BH45" s="27" t="s">
        <v>701</v>
      </c>
      <c r="BI45" s="5" t="s">
        <v>702</v>
      </c>
      <c r="BJ45" s="28" t="s">
        <v>703</v>
      </c>
      <c r="BK45" s="5" t="str">
        <f t="shared" si="11"/>
        <v>22026728273</v>
      </c>
      <c r="BL45" s="28" t="s">
        <v>704</v>
      </c>
      <c r="BM45" s="26" t="s">
        <v>705</v>
      </c>
      <c r="BN45" s="26" t="s">
        <v>119</v>
      </c>
      <c r="BO45" s="37">
        <v>46183</v>
      </c>
      <c r="BP45" s="34">
        <f t="shared" ca="1" si="10"/>
        <v>310</v>
      </c>
      <c r="BQ45" s="10" t="s">
        <v>120</v>
      </c>
      <c r="BR45" s="10" t="s">
        <v>120</v>
      </c>
      <c r="BS45" s="44"/>
      <c r="BT45" s="20" t="s">
        <v>706</v>
      </c>
    </row>
    <row r="46" spans="1:72" ht="14.25" x14ac:dyDescent="0.45">
      <c r="A46" s="26">
        <v>40</v>
      </c>
      <c r="B46" s="26" t="s">
        <v>76</v>
      </c>
      <c r="C46" s="26" t="s">
        <v>77</v>
      </c>
      <c r="D46" s="28" t="s">
        <v>707</v>
      </c>
      <c r="E46" s="28">
        <v>1141300040</v>
      </c>
      <c r="F46" s="26" t="s">
        <v>708</v>
      </c>
      <c r="G46" s="24" t="s">
        <v>124</v>
      </c>
      <c r="H46" s="24" t="s">
        <v>81</v>
      </c>
      <c r="I46" s="24" t="s">
        <v>82</v>
      </c>
      <c r="J46" s="26" t="s">
        <v>342</v>
      </c>
      <c r="K46" s="26" t="s">
        <v>84</v>
      </c>
      <c r="L46" s="19" t="s">
        <v>85</v>
      </c>
      <c r="M46" s="24" t="s">
        <v>86</v>
      </c>
      <c r="N46" s="1" t="s">
        <v>85</v>
      </c>
      <c r="O46" s="24" t="s">
        <v>125</v>
      </c>
      <c r="P46" s="26" t="s">
        <v>613</v>
      </c>
      <c r="Q46" s="29">
        <v>33113</v>
      </c>
      <c r="R46" s="30">
        <f t="shared" ca="1" si="2"/>
        <v>35</v>
      </c>
      <c r="S46" s="31" t="str">
        <f t="shared" ca="1" si="7"/>
        <v xml:space="preserve">35 Tahun 11 Bulan 8 Hari </v>
      </c>
      <c r="T46" s="32">
        <f t="shared" ca="1" si="3"/>
        <v>7328</v>
      </c>
      <c r="U46" s="30" t="str">
        <f t="shared" ca="1" si="4"/>
        <v>31-35 Tahun</v>
      </c>
      <c r="V46" s="30" t="s">
        <v>89</v>
      </c>
      <c r="W46" s="24" t="s">
        <v>90</v>
      </c>
      <c r="X46" s="26" t="s">
        <v>91</v>
      </c>
      <c r="Y46" s="24" t="s">
        <v>2</v>
      </c>
      <c r="Z46" s="24" t="s">
        <v>179</v>
      </c>
      <c r="AA46" s="24" t="s">
        <v>257</v>
      </c>
      <c r="AB46" s="24" t="s">
        <v>644</v>
      </c>
      <c r="AC46" s="26" t="s">
        <v>130</v>
      </c>
      <c r="AD46" s="51"/>
      <c r="AE46" s="24" t="s">
        <v>96</v>
      </c>
      <c r="AF46" s="24" t="str">
        <f t="shared" si="9"/>
        <v>PT Sentral Sari Jaya</v>
      </c>
      <c r="AG46" s="23" t="s">
        <v>98</v>
      </c>
      <c r="AH46" s="24" t="s">
        <v>90</v>
      </c>
      <c r="AI46" s="33">
        <v>45992</v>
      </c>
      <c r="AJ46" s="33">
        <v>46356</v>
      </c>
      <c r="AK46" s="34">
        <f t="shared" ca="1" si="8"/>
        <v>118</v>
      </c>
      <c r="AL46" s="4">
        <v>41640</v>
      </c>
      <c r="AM46" s="35">
        <v>44348</v>
      </c>
      <c r="AN46" s="24" t="s">
        <v>99</v>
      </c>
      <c r="AO46" s="24" t="s">
        <v>100</v>
      </c>
      <c r="AP46" s="24" t="s">
        <v>101</v>
      </c>
      <c r="AQ46" s="24">
        <v>30284899</v>
      </c>
      <c r="AR46" s="24">
        <v>30284899</v>
      </c>
      <c r="AS46" s="24" t="s">
        <v>102</v>
      </c>
      <c r="AT46" s="23" t="s">
        <v>709</v>
      </c>
      <c r="AU46" s="8" t="str">
        <f t="shared" si="12"/>
        <v>7201092808900001</v>
      </c>
      <c r="AV46" s="24" t="s">
        <v>104</v>
      </c>
      <c r="AW46" s="36" t="s">
        <v>165</v>
      </c>
      <c r="AX46" s="24" t="s">
        <v>106</v>
      </c>
      <c r="AY46" s="24" t="s">
        <v>107</v>
      </c>
      <c r="AZ46" s="23" t="s">
        <v>710</v>
      </c>
      <c r="BA46" s="24" t="s">
        <v>711</v>
      </c>
      <c r="BB46" s="6" t="s">
        <v>712</v>
      </c>
      <c r="BC46" s="24" t="s">
        <v>713</v>
      </c>
      <c r="BD46" s="24" t="s">
        <v>343</v>
      </c>
      <c r="BE46" s="24" t="s">
        <v>112</v>
      </c>
      <c r="BF46" s="24" t="s">
        <v>113</v>
      </c>
      <c r="BG46" s="24" t="s">
        <v>81</v>
      </c>
      <c r="BH46" s="27" t="s">
        <v>714</v>
      </c>
      <c r="BI46" s="5" t="s">
        <v>715</v>
      </c>
      <c r="BJ46" s="28" t="s">
        <v>716</v>
      </c>
      <c r="BK46" s="5" t="str">
        <f t="shared" si="11"/>
        <v>22040703849</v>
      </c>
      <c r="BL46" s="26" t="s">
        <v>717</v>
      </c>
      <c r="BM46" s="26" t="s">
        <v>718</v>
      </c>
      <c r="BN46" s="26" t="s">
        <v>119</v>
      </c>
      <c r="BO46" s="37">
        <v>46167</v>
      </c>
      <c r="BP46" s="34">
        <f t="shared" ca="1" si="10"/>
        <v>294</v>
      </c>
      <c r="BQ46" s="10" t="s">
        <v>120</v>
      </c>
      <c r="BR46" s="10" t="s">
        <v>120</v>
      </c>
      <c r="BS46" s="44"/>
      <c r="BT46" s="20" t="s">
        <v>719</v>
      </c>
    </row>
    <row r="47" spans="1:72" ht="14.25" x14ac:dyDescent="0.45">
      <c r="A47" s="26">
        <v>41</v>
      </c>
      <c r="B47" s="26" t="s">
        <v>76</v>
      </c>
      <c r="C47" s="26" t="s">
        <v>77</v>
      </c>
      <c r="D47" s="28" t="s">
        <v>720</v>
      </c>
      <c r="E47" s="26">
        <v>1141300061</v>
      </c>
      <c r="F47" s="26" t="s">
        <v>721</v>
      </c>
      <c r="G47" s="24" t="s">
        <v>145</v>
      </c>
      <c r="H47" s="24" t="s">
        <v>81</v>
      </c>
      <c r="I47" s="24" t="s">
        <v>82</v>
      </c>
      <c r="J47" s="26" t="s">
        <v>342</v>
      </c>
      <c r="K47" s="26" t="s">
        <v>84</v>
      </c>
      <c r="L47" s="19" t="s">
        <v>85</v>
      </c>
      <c r="M47" s="24" t="s">
        <v>86</v>
      </c>
      <c r="N47" s="1" t="s">
        <v>85</v>
      </c>
      <c r="O47" s="24" t="s">
        <v>125</v>
      </c>
      <c r="P47" s="26" t="s">
        <v>161</v>
      </c>
      <c r="Q47" s="29">
        <v>35134</v>
      </c>
      <c r="R47" s="30">
        <f t="shared" ca="1" si="2"/>
        <v>30</v>
      </c>
      <c r="S47" s="31" t="str">
        <f t="shared" ca="1" si="7"/>
        <v xml:space="preserve">30 Tahun 4 Bulan 26 Hari </v>
      </c>
      <c r="T47" s="32">
        <f t="shared" ca="1" si="3"/>
        <v>9349</v>
      </c>
      <c r="U47" s="30" t="str">
        <f t="shared" ca="1" si="4"/>
        <v>26-30 Tahun</v>
      </c>
      <c r="V47" s="30" t="s">
        <v>89</v>
      </c>
      <c r="W47" s="24" t="s">
        <v>90</v>
      </c>
      <c r="X47" s="26" t="s">
        <v>91</v>
      </c>
      <c r="Y47" s="24" t="s">
        <v>2</v>
      </c>
      <c r="Z47" s="24" t="s">
        <v>127</v>
      </c>
      <c r="AA47" s="24" t="s">
        <v>722</v>
      </c>
      <c r="AB47" s="24" t="s">
        <v>723</v>
      </c>
      <c r="AC47" s="26" t="s">
        <v>148</v>
      </c>
      <c r="AD47" s="51"/>
      <c r="AE47" s="24" t="s">
        <v>96</v>
      </c>
      <c r="AF47" s="24" t="str">
        <f t="shared" si="9"/>
        <v>PT Sentral Sari Jaya</v>
      </c>
      <c r="AG47" s="23" t="s">
        <v>98</v>
      </c>
      <c r="AH47" s="24" t="s">
        <v>90</v>
      </c>
      <c r="AI47" s="33">
        <v>45992</v>
      </c>
      <c r="AJ47" s="33">
        <v>46356</v>
      </c>
      <c r="AK47" s="34">
        <f t="shared" ca="1" si="8"/>
        <v>118</v>
      </c>
      <c r="AL47" s="4">
        <v>41640</v>
      </c>
      <c r="AM47" s="35">
        <v>44593</v>
      </c>
      <c r="AN47" s="24" t="s">
        <v>99</v>
      </c>
      <c r="AO47" s="24" t="s">
        <v>100</v>
      </c>
      <c r="AP47" s="24" t="s">
        <v>101</v>
      </c>
      <c r="AQ47" s="24">
        <v>30284899</v>
      </c>
      <c r="AR47" s="24">
        <v>30284899</v>
      </c>
      <c r="AS47" s="24" t="s">
        <v>102</v>
      </c>
      <c r="AT47" s="23" t="s">
        <v>724</v>
      </c>
      <c r="AU47" s="8" t="str">
        <f t="shared" si="12"/>
        <v>7201091003960002</v>
      </c>
      <c r="AV47" s="24" t="s">
        <v>104</v>
      </c>
      <c r="AW47" s="36" t="s">
        <v>105</v>
      </c>
      <c r="AX47" s="24" t="s">
        <v>106</v>
      </c>
      <c r="AY47" s="24" t="s">
        <v>107</v>
      </c>
      <c r="AZ47" s="23" t="s">
        <v>725</v>
      </c>
      <c r="BA47" s="24" t="s">
        <v>726</v>
      </c>
      <c r="BB47" s="24"/>
      <c r="BC47" s="24" t="s">
        <v>727</v>
      </c>
      <c r="BD47" s="24" t="s">
        <v>343</v>
      </c>
      <c r="BE47" s="24" t="s">
        <v>112</v>
      </c>
      <c r="BF47" s="24" t="s">
        <v>113</v>
      </c>
      <c r="BG47" s="24" t="s">
        <v>81</v>
      </c>
      <c r="BH47" s="28" t="s">
        <v>728</v>
      </c>
      <c r="BI47" s="5" t="s">
        <v>729</v>
      </c>
      <c r="BJ47" s="28" t="s">
        <v>730</v>
      </c>
      <c r="BK47" s="5" t="str">
        <f t="shared" si="11"/>
        <v>22040703971</v>
      </c>
      <c r="BL47" s="26" t="s">
        <v>731</v>
      </c>
      <c r="BM47" s="26" t="s">
        <v>732</v>
      </c>
      <c r="BN47" s="26" t="s">
        <v>733</v>
      </c>
      <c r="BO47" s="37">
        <v>46176</v>
      </c>
      <c r="BP47" s="34">
        <f t="shared" ca="1" si="10"/>
        <v>303</v>
      </c>
      <c r="BQ47" s="10" t="s">
        <v>120</v>
      </c>
      <c r="BR47" s="10" t="s">
        <v>120</v>
      </c>
      <c r="BS47" s="44"/>
      <c r="BT47" s="20" t="s">
        <v>734</v>
      </c>
    </row>
    <row r="48" spans="1:72" ht="14.25" x14ac:dyDescent="0.45">
      <c r="A48" s="26">
        <v>42</v>
      </c>
      <c r="B48" s="26" t="s">
        <v>76</v>
      </c>
      <c r="C48" s="26" t="s">
        <v>77</v>
      </c>
      <c r="D48" s="28" t="s">
        <v>735</v>
      </c>
      <c r="E48" s="28">
        <v>1141300042</v>
      </c>
      <c r="F48" s="26" t="s">
        <v>736</v>
      </c>
      <c r="G48" s="24" t="s">
        <v>145</v>
      </c>
      <c r="H48" s="24" t="s">
        <v>81</v>
      </c>
      <c r="I48" s="24" t="s">
        <v>82</v>
      </c>
      <c r="J48" s="26" t="s">
        <v>342</v>
      </c>
      <c r="K48" s="26" t="s">
        <v>84</v>
      </c>
      <c r="L48" s="19" t="s">
        <v>85</v>
      </c>
      <c r="M48" s="24" t="s">
        <v>86</v>
      </c>
      <c r="N48" s="1" t="s">
        <v>85</v>
      </c>
      <c r="O48" s="24" t="s">
        <v>125</v>
      </c>
      <c r="P48" s="26" t="s">
        <v>737</v>
      </c>
      <c r="Q48" s="29">
        <v>31428</v>
      </c>
      <c r="R48" s="30">
        <f t="shared" ca="1" si="2"/>
        <v>40</v>
      </c>
      <c r="S48" s="31" t="str">
        <f t="shared" ca="1" si="7"/>
        <v xml:space="preserve">40 Tahun 6 Bulan 20 Hari </v>
      </c>
      <c r="T48" s="32">
        <f t="shared" ca="1" si="3"/>
        <v>5643</v>
      </c>
      <c r="U48" s="30" t="str">
        <f t="shared" ca="1" si="4"/>
        <v>36-40 Tahun</v>
      </c>
      <c r="V48" s="30" t="s">
        <v>89</v>
      </c>
      <c r="W48" s="24" t="s">
        <v>90</v>
      </c>
      <c r="X48" s="26" t="s">
        <v>91</v>
      </c>
      <c r="Y48" s="24" t="s">
        <v>2</v>
      </c>
      <c r="Z48" s="24" t="s">
        <v>92</v>
      </c>
      <c r="AA48" s="24" t="s">
        <v>93</v>
      </c>
      <c r="AB48" s="24" t="s">
        <v>738</v>
      </c>
      <c r="AC48" s="26" t="s">
        <v>148</v>
      </c>
      <c r="AD48" s="51"/>
      <c r="AE48" s="24" t="s">
        <v>96</v>
      </c>
      <c r="AF48" s="24" t="str">
        <f t="shared" si="9"/>
        <v>PT Sentral Sari Jaya</v>
      </c>
      <c r="AG48" s="23" t="s">
        <v>98</v>
      </c>
      <c r="AH48" s="24" t="s">
        <v>90</v>
      </c>
      <c r="AI48" s="33">
        <v>45992</v>
      </c>
      <c r="AJ48" s="33">
        <v>46356</v>
      </c>
      <c r="AK48" s="34">
        <f t="shared" ca="1" si="8"/>
        <v>118</v>
      </c>
      <c r="AL48" s="4">
        <v>41640</v>
      </c>
      <c r="AM48" s="35">
        <v>44197</v>
      </c>
      <c r="AN48" s="24" t="s">
        <v>99</v>
      </c>
      <c r="AO48" s="24" t="s">
        <v>100</v>
      </c>
      <c r="AP48" s="24" t="s">
        <v>101</v>
      </c>
      <c r="AQ48" s="24">
        <v>30284899</v>
      </c>
      <c r="AR48" s="24">
        <v>30284899</v>
      </c>
      <c r="AS48" s="24" t="s">
        <v>102</v>
      </c>
      <c r="AT48" s="23" t="s">
        <v>739</v>
      </c>
      <c r="AU48" s="8" t="str">
        <f t="shared" si="12"/>
        <v>7201121601860001</v>
      </c>
      <c r="AV48" s="24" t="s">
        <v>104</v>
      </c>
      <c r="AW48" s="36" t="s">
        <v>183</v>
      </c>
      <c r="AX48" s="24" t="s">
        <v>106</v>
      </c>
      <c r="AY48" s="24" t="s">
        <v>107</v>
      </c>
      <c r="AZ48" s="23" t="s">
        <v>740</v>
      </c>
      <c r="BA48" s="24" t="s">
        <v>741</v>
      </c>
      <c r="BB48" s="24"/>
      <c r="BC48" s="24" t="s">
        <v>742</v>
      </c>
      <c r="BD48" s="24" t="s">
        <v>429</v>
      </c>
      <c r="BE48" s="24" t="s">
        <v>112</v>
      </c>
      <c r="BF48" s="24" t="s">
        <v>113</v>
      </c>
      <c r="BG48" s="24" t="s">
        <v>81</v>
      </c>
      <c r="BH48" s="27" t="s">
        <v>743</v>
      </c>
      <c r="BI48" s="5" t="s">
        <v>744</v>
      </c>
      <c r="BJ48" s="28" t="s">
        <v>745</v>
      </c>
      <c r="BK48" s="5" t="str">
        <f t="shared" si="11"/>
        <v>22026728281</v>
      </c>
      <c r="BL48" s="26" t="s">
        <v>746</v>
      </c>
      <c r="BM48" s="26" t="s">
        <v>747</v>
      </c>
      <c r="BN48" s="26" t="s">
        <v>119</v>
      </c>
      <c r="BO48" s="37">
        <v>46183</v>
      </c>
      <c r="BP48" s="34">
        <f t="shared" ca="1" si="10"/>
        <v>310</v>
      </c>
      <c r="BQ48" s="10" t="s">
        <v>120</v>
      </c>
      <c r="BR48" s="10" t="s">
        <v>120</v>
      </c>
      <c r="BS48" s="44"/>
      <c r="BT48" s="20" t="s">
        <v>748</v>
      </c>
    </row>
    <row r="49" spans="1:72" ht="14.25" x14ac:dyDescent="0.45">
      <c r="A49" s="26">
        <v>43</v>
      </c>
      <c r="B49" s="26" t="s">
        <v>76</v>
      </c>
      <c r="C49" s="26" t="s">
        <v>77</v>
      </c>
      <c r="D49" s="28" t="s">
        <v>749</v>
      </c>
      <c r="E49" s="28">
        <v>1141300043</v>
      </c>
      <c r="F49" s="26" t="s">
        <v>750</v>
      </c>
      <c r="G49" s="24" t="s">
        <v>124</v>
      </c>
      <c r="H49" s="24" t="s">
        <v>81</v>
      </c>
      <c r="I49" s="24" t="s">
        <v>82</v>
      </c>
      <c r="J49" s="26" t="s">
        <v>342</v>
      </c>
      <c r="K49" s="26" t="s">
        <v>84</v>
      </c>
      <c r="L49" s="19" t="s">
        <v>85</v>
      </c>
      <c r="M49" s="24" t="s">
        <v>86</v>
      </c>
      <c r="N49" s="1" t="s">
        <v>85</v>
      </c>
      <c r="O49" s="24" t="s">
        <v>125</v>
      </c>
      <c r="P49" s="26" t="s">
        <v>751</v>
      </c>
      <c r="Q49" s="29">
        <v>33099</v>
      </c>
      <c r="R49" s="30">
        <f t="shared" ca="1" si="2"/>
        <v>35</v>
      </c>
      <c r="S49" s="31" t="str">
        <f t="shared" ca="1" si="7"/>
        <v xml:space="preserve">35 Tahun 11 Bulan 22 Hari </v>
      </c>
      <c r="T49" s="32">
        <f t="shared" ca="1" si="3"/>
        <v>7314</v>
      </c>
      <c r="U49" s="30" t="str">
        <f t="shared" ca="1" si="4"/>
        <v>31-35 Tahun</v>
      </c>
      <c r="V49" s="30" t="s">
        <v>89</v>
      </c>
      <c r="W49" s="24" t="s">
        <v>90</v>
      </c>
      <c r="X49" s="26" t="s">
        <v>91</v>
      </c>
      <c r="Y49" s="24" t="s">
        <v>2</v>
      </c>
      <c r="Z49" s="24" t="s">
        <v>92</v>
      </c>
      <c r="AA49" s="24" t="s">
        <v>752</v>
      </c>
      <c r="AB49" s="24" t="s">
        <v>738</v>
      </c>
      <c r="AC49" s="26" t="s">
        <v>130</v>
      </c>
      <c r="AD49" s="51"/>
      <c r="AE49" s="24" t="s">
        <v>96</v>
      </c>
      <c r="AF49" s="24" t="str">
        <f t="shared" si="9"/>
        <v>PT Sentral Sari Jaya</v>
      </c>
      <c r="AG49" s="23" t="s">
        <v>98</v>
      </c>
      <c r="AH49" s="24" t="s">
        <v>90</v>
      </c>
      <c r="AI49" s="33">
        <v>45992</v>
      </c>
      <c r="AJ49" s="33">
        <v>46356</v>
      </c>
      <c r="AK49" s="34">
        <f t="shared" ca="1" si="8"/>
        <v>118</v>
      </c>
      <c r="AL49" s="4">
        <v>41640</v>
      </c>
      <c r="AM49" s="35">
        <v>44197</v>
      </c>
      <c r="AN49" s="24" t="s">
        <v>99</v>
      </c>
      <c r="AO49" s="24" t="s">
        <v>100</v>
      </c>
      <c r="AP49" s="24" t="s">
        <v>101</v>
      </c>
      <c r="AQ49" s="24">
        <v>30284899</v>
      </c>
      <c r="AR49" s="24">
        <v>30284899</v>
      </c>
      <c r="AS49" s="24" t="s">
        <v>102</v>
      </c>
      <c r="AT49" s="23" t="s">
        <v>753</v>
      </c>
      <c r="AU49" s="8" t="str">
        <f t="shared" si="12"/>
        <v>7201122811900001</v>
      </c>
      <c r="AV49" s="24" t="s">
        <v>104</v>
      </c>
      <c r="AW49" s="36" t="s">
        <v>105</v>
      </c>
      <c r="AX49" s="24" t="s">
        <v>106</v>
      </c>
      <c r="AY49" s="24" t="s">
        <v>107</v>
      </c>
      <c r="AZ49" s="23" t="s">
        <v>754</v>
      </c>
      <c r="BA49" s="24" t="s">
        <v>755</v>
      </c>
      <c r="BB49" s="6" t="s">
        <v>756</v>
      </c>
      <c r="BC49" s="24" t="s">
        <v>757</v>
      </c>
      <c r="BD49" s="24" t="s">
        <v>343</v>
      </c>
      <c r="BE49" s="24" t="s">
        <v>112</v>
      </c>
      <c r="BF49" s="24" t="s">
        <v>113</v>
      </c>
      <c r="BG49" s="24" t="s">
        <v>81</v>
      </c>
      <c r="BH49" s="27" t="s">
        <v>758</v>
      </c>
      <c r="BI49" s="5" t="s">
        <v>759</v>
      </c>
      <c r="BJ49" s="28" t="s">
        <v>760</v>
      </c>
      <c r="BK49" s="5" t="str">
        <f t="shared" si="11"/>
        <v>22026728323</v>
      </c>
      <c r="BL49" s="26" t="s">
        <v>761</v>
      </c>
      <c r="BM49" s="26" t="s">
        <v>762</v>
      </c>
      <c r="BN49" s="26" t="s">
        <v>119</v>
      </c>
      <c r="BO49" s="37">
        <v>46176</v>
      </c>
      <c r="BP49" s="34">
        <f t="shared" ca="1" si="10"/>
        <v>303</v>
      </c>
      <c r="BQ49" s="10" t="s">
        <v>120</v>
      </c>
      <c r="BR49" s="10" t="s">
        <v>120</v>
      </c>
      <c r="BS49" s="44"/>
      <c r="BT49" s="20" t="s">
        <v>763</v>
      </c>
    </row>
    <row r="50" spans="1:72" ht="14.25" x14ac:dyDescent="0.45">
      <c r="A50" s="26">
        <v>44</v>
      </c>
      <c r="B50" s="26" t="s">
        <v>76</v>
      </c>
      <c r="C50" s="26" t="s">
        <v>77</v>
      </c>
      <c r="D50" s="28" t="s">
        <v>764</v>
      </c>
      <c r="E50" s="28">
        <v>1141300044</v>
      </c>
      <c r="F50" s="26" t="s">
        <v>765</v>
      </c>
      <c r="G50" s="24" t="s">
        <v>145</v>
      </c>
      <c r="H50" s="24" t="s">
        <v>81</v>
      </c>
      <c r="I50" s="24" t="s">
        <v>82</v>
      </c>
      <c r="J50" s="26" t="s">
        <v>83</v>
      </c>
      <c r="K50" s="26" t="s">
        <v>84</v>
      </c>
      <c r="L50" s="19" t="s">
        <v>85</v>
      </c>
      <c r="M50" s="24" t="s">
        <v>272</v>
      </c>
      <c r="N50" s="1" t="s">
        <v>85</v>
      </c>
      <c r="O50" s="24" t="s">
        <v>125</v>
      </c>
      <c r="P50" s="26" t="s">
        <v>161</v>
      </c>
      <c r="Q50" s="29">
        <v>29721</v>
      </c>
      <c r="R50" s="30">
        <f t="shared" ca="1" si="2"/>
        <v>45</v>
      </c>
      <c r="S50" s="31" t="str">
        <f t="shared" ca="1" si="7"/>
        <v xml:space="preserve">45 Tahun 2 Bulan 21 Hari </v>
      </c>
      <c r="T50" s="32">
        <f t="shared" ca="1" si="3"/>
        <v>3936</v>
      </c>
      <c r="U50" s="30" t="str">
        <f t="shared" ca="1" si="4"/>
        <v>41-45 Tahun</v>
      </c>
      <c r="V50" s="30" t="s">
        <v>89</v>
      </c>
      <c r="W50" s="24" t="s">
        <v>90</v>
      </c>
      <c r="X50" s="26" t="s">
        <v>91</v>
      </c>
      <c r="Y50" s="24" t="s">
        <v>2</v>
      </c>
      <c r="Z50" s="24" t="s">
        <v>92</v>
      </c>
      <c r="AA50" s="24" t="s">
        <v>81</v>
      </c>
      <c r="AB50" s="24" t="s">
        <v>766</v>
      </c>
      <c r="AC50" s="26" t="s">
        <v>148</v>
      </c>
      <c r="AD50" s="51"/>
      <c r="AE50" s="24" t="s">
        <v>96</v>
      </c>
      <c r="AF50" s="24" t="str">
        <f t="shared" si="9"/>
        <v>PT Sentral Sari Jaya</v>
      </c>
      <c r="AG50" s="23" t="s">
        <v>98</v>
      </c>
      <c r="AH50" s="24" t="s">
        <v>90</v>
      </c>
      <c r="AI50" s="33">
        <v>45992</v>
      </c>
      <c r="AJ50" s="33">
        <v>46356</v>
      </c>
      <c r="AK50" s="34">
        <f t="shared" ca="1" si="8"/>
        <v>118</v>
      </c>
      <c r="AL50" s="4">
        <v>41640</v>
      </c>
      <c r="AM50" s="35">
        <v>44197</v>
      </c>
      <c r="AN50" s="24" t="s">
        <v>99</v>
      </c>
      <c r="AO50" s="24" t="s">
        <v>100</v>
      </c>
      <c r="AP50" s="24" t="s">
        <v>101</v>
      </c>
      <c r="AQ50" s="24">
        <v>30284899</v>
      </c>
      <c r="AR50" s="24">
        <v>30284899</v>
      </c>
      <c r="AS50" s="24" t="s">
        <v>102</v>
      </c>
      <c r="AT50" s="23" t="s">
        <v>767</v>
      </c>
      <c r="AU50" s="8" t="str">
        <f t="shared" si="12"/>
        <v>7201011505810002</v>
      </c>
      <c r="AV50" s="24" t="s">
        <v>104</v>
      </c>
      <c r="AW50" s="36" t="s">
        <v>105</v>
      </c>
      <c r="AX50" s="24" t="s">
        <v>106</v>
      </c>
      <c r="AY50" s="24" t="s">
        <v>107</v>
      </c>
      <c r="AZ50" s="23" t="s">
        <v>768</v>
      </c>
      <c r="BA50" s="24" t="s">
        <v>769</v>
      </c>
      <c r="BB50" s="24"/>
      <c r="BC50" s="24" t="s">
        <v>770</v>
      </c>
      <c r="BD50" s="24" t="s">
        <v>111</v>
      </c>
      <c r="BE50" s="24" t="s">
        <v>112</v>
      </c>
      <c r="BF50" s="24" t="s">
        <v>113</v>
      </c>
      <c r="BG50" s="24" t="s">
        <v>81</v>
      </c>
      <c r="BH50" s="27" t="s">
        <v>771</v>
      </c>
      <c r="BI50" s="5" t="s">
        <v>772</v>
      </c>
      <c r="BJ50" s="28" t="s">
        <v>773</v>
      </c>
      <c r="BK50" s="5" t="str">
        <f t="shared" si="11"/>
        <v>22040703872</v>
      </c>
      <c r="BL50" s="28" t="s">
        <v>774</v>
      </c>
      <c r="BM50" s="26" t="s">
        <v>775</v>
      </c>
      <c r="BN50" s="26" t="s">
        <v>119</v>
      </c>
      <c r="BO50" s="37">
        <v>46185</v>
      </c>
      <c r="BP50" s="34">
        <f t="shared" ca="1" si="10"/>
        <v>312</v>
      </c>
      <c r="BQ50" s="10" t="s">
        <v>120</v>
      </c>
      <c r="BR50" s="10" t="s">
        <v>120</v>
      </c>
      <c r="BS50" s="44"/>
      <c r="BT50" s="20" t="s">
        <v>776</v>
      </c>
    </row>
    <row r="51" spans="1:72" ht="14.25" x14ac:dyDescent="0.45">
      <c r="A51" s="26">
        <v>45</v>
      </c>
      <c r="B51" s="26" t="s">
        <v>76</v>
      </c>
      <c r="C51" s="26" t="s">
        <v>77</v>
      </c>
      <c r="D51" s="28" t="s">
        <v>777</v>
      </c>
      <c r="E51" s="26">
        <v>1141300070</v>
      </c>
      <c r="F51" s="26" t="s">
        <v>778</v>
      </c>
      <c r="G51" s="24" t="s">
        <v>145</v>
      </c>
      <c r="H51" s="24" t="s">
        <v>81</v>
      </c>
      <c r="I51" s="24" t="s">
        <v>82</v>
      </c>
      <c r="J51" s="26" t="s">
        <v>83</v>
      </c>
      <c r="K51" s="26" t="s">
        <v>84</v>
      </c>
      <c r="L51" s="19" t="s">
        <v>85</v>
      </c>
      <c r="M51" s="24" t="s">
        <v>86</v>
      </c>
      <c r="N51" s="1" t="s">
        <v>85</v>
      </c>
      <c r="O51" s="24" t="s">
        <v>125</v>
      </c>
      <c r="P51" s="26" t="s">
        <v>111</v>
      </c>
      <c r="Q51" s="29">
        <v>33670</v>
      </c>
      <c r="R51" s="30">
        <f t="shared" ca="1" si="2"/>
        <v>34</v>
      </c>
      <c r="S51" s="31" t="str">
        <f t="shared" ca="1" si="7"/>
        <v xml:space="preserve">34 Tahun 4 Bulan 29 Hari </v>
      </c>
      <c r="T51" s="32">
        <f t="shared" ca="1" si="3"/>
        <v>7885</v>
      </c>
      <c r="U51" s="30" t="str">
        <f t="shared" ca="1" si="4"/>
        <v>31-35 Tahun</v>
      </c>
      <c r="V51" s="30" t="s">
        <v>89</v>
      </c>
      <c r="W51" s="24" t="s">
        <v>90</v>
      </c>
      <c r="X51" s="26" t="s">
        <v>91</v>
      </c>
      <c r="Y51" s="24" t="s">
        <v>2</v>
      </c>
      <c r="Z51" s="24" t="s">
        <v>179</v>
      </c>
      <c r="AA51" s="24" t="s">
        <v>779</v>
      </c>
      <c r="AB51" s="24" t="s">
        <v>644</v>
      </c>
      <c r="AC51" s="26" t="s">
        <v>148</v>
      </c>
      <c r="AD51" s="51"/>
      <c r="AE51" s="24" t="s">
        <v>96</v>
      </c>
      <c r="AF51" s="24" t="str">
        <f t="shared" si="9"/>
        <v>PT Sentral Sari Jaya</v>
      </c>
      <c r="AG51" s="23" t="s">
        <v>98</v>
      </c>
      <c r="AH51" s="24" t="s">
        <v>90</v>
      </c>
      <c r="AI51" s="33">
        <v>45992</v>
      </c>
      <c r="AJ51" s="33">
        <v>46356</v>
      </c>
      <c r="AK51" s="34">
        <f t="shared" ca="1" si="8"/>
        <v>118</v>
      </c>
      <c r="AL51" s="4">
        <v>41640</v>
      </c>
      <c r="AM51" s="35">
        <v>44197</v>
      </c>
      <c r="AN51" s="24" t="s">
        <v>99</v>
      </c>
      <c r="AO51" s="24" t="s">
        <v>100</v>
      </c>
      <c r="AP51" s="24" t="s">
        <v>101</v>
      </c>
      <c r="AQ51" s="24">
        <v>30284899</v>
      </c>
      <c r="AR51" s="24">
        <v>30284899</v>
      </c>
      <c r="AS51" s="24" t="s">
        <v>102</v>
      </c>
      <c r="AT51" s="23" t="s">
        <v>780</v>
      </c>
      <c r="AU51" s="8" t="str">
        <f t="shared" si="12"/>
        <v>7207103070392007</v>
      </c>
      <c r="AV51" s="24" t="s">
        <v>288</v>
      </c>
      <c r="AW51" s="36" t="s">
        <v>289</v>
      </c>
      <c r="AX51" s="24" t="s">
        <v>106</v>
      </c>
      <c r="AY51" s="24" t="s">
        <v>107</v>
      </c>
      <c r="AZ51" s="23" t="s">
        <v>781</v>
      </c>
      <c r="BA51" s="24" t="s">
        <v>782</v>
      </c>
      <c r="BB51" s="24"/>
      <c r="BC51" s="24" t="s">
        <v>783</v>
      </c>
      <c r="BD51" s="24" t="s">
        <v>111</v>
      </c>
      <c r="BE51" s="24" t="s">
        <v>112</v>
      </c>
      <c r="BF51" s="24" t="s">
        <v>113</v>
      </c>
      <c r="BG51" s="24" t="s">
        <v>81</v>
      </c>
      <c r="BH51" s="27" t="s">
        <v>784</v>
      </c>
      <c r="BI51" s="5" t="s">
        <v>785</v>
      </c>
      <c r="BJ51" s="28" t="s">
        <v>786</v>
      </c>
      <c r="BK51" s="5" t="str">
        <f t="shared" si="11"/>
        <v>22040704003</v>
      </c>
      <c r="BL51" s="26" t="s">
        <v>787</v>
      </c>
      <c r="BM51" s="26" t="s">
        <v>788</v>
      </c>
      <c r="BN51" s="26" t="s">
        <v>119</v>
      </c>
      <c r="BO51" s="37">
        <v>46181</v>
      </c>
      <c r="BP51" s="34">
        <f t="shared" ca="1" si="10"/>
        <v>308</v>
      </c>
      <c r="BQ51" s="10" t="s">
        <v>120</v>
      </c>
      <c r="BR51" s="10" t="s">
        <v>120</v>
      </c>
      <c r="BS51" s="44"/>
      <c r="BT51" s="20" t="s">
        <v>789</v>
      </c>
    </row>
    <row r="52" spans="1:72" ht="14.25" x14ac:dyDescent="0.45">
      <c r="A52" s="26">
        <v>46</v>
      </c>
      <c r="B52" s="26" t="s">
        <v>76</v>
      </c>
      <c r="C52" s="26" t="s">
        <v>77</v>
      </c>
      <c r="D52" s="28" t="s">
        <v>790</v>
      </c>
      <c r="E52" s="28">
        <v>1141300046</v>
      </c>
      <c r="F52" s="26" t="s">
        <v>791</v>
      </c>
      <c r="G52" s="24" t="s">
        <v>145</v>
      </c>
      <c r="H52" s="24" t="s">
        <v>81</v>
      </c>
      <c r="I52" s="24" t="s">
        <v>82</v>
      </c>
      <c r="J52" s="26" t="s">
        <v>83</v>
      </c>
      <c r="K52" s="26" t="s">
        <v>84</v>
      </c>
      <c r="L52" s="19" t="s">
        <v>85</v>
      </c>
      <c r="M52" s="24" t="s">
        <v>86</v>
      </c>
      <c r="N52" s="1" t="s">
        <v>85</v>
      </c>
      <c r="O52" s="24" t="s">
        <v>125</v>
      </c>
      <c r="P52" s="26" t="s">
        <v>792</v>
      </c>
      <c r="Q52" s="29">
        <v>34842</v>
      </c>
      <c r="R52" s="30">
        <f t="shared" ca="1" si="2"/>
        <v>31</v>
      </c>
      <c r="S52" s="31" t="str">
        <f t="shared" ca="1" si="7"/>
        <v xml:space="preserve">31 Tahun 2 Bulan 13 Hari </v>
      </c>
      <c r="T52" s="32">
        <f t="shared" ca="1" si="3"/>
        <v>9057</v>
      </c>
      <c r="U52" s="30" t="str">
        <f t="shared" ca="1" si="4"/>
        <v>31-35 Tahun</v>
      </c>
      <c r="V52" s="30" t="s">
        <v>89</v>
      </c>
      <c r="W52" s="24" t="s">
        <v>90</v>
      </c>
      <c r="X52" s="26" t="s">
        <v>91</v>
      </c>
      <c r="Y52" s="24" t="s">
        <v>2</v>
      </c>
      <c r="Z52" s="24" t="s">
        <v>179</v>
      </c>
      <c r="AA52" s="24" t="s">
        <v>793</v>
      </c>
      <c r="AB52" s="24" t="s">
        <v>794</v>
      </c>
      <c r="AC52" s="26" t="s">
        <v>148</v>
      </c>
      <c r="AD52" s="51"/>
      <c r="AE52" s="24" t="s">
        <v>96</v>
      </c>
      <c r="AF52" s="24" t="str">
        <f t="shared" si="9"/>
        <v>PT Sentral Sari Jaya</v>
      </c>
      <c r="AG52" s="23" t="s">
        <v>98</v>
      </c>
      <c r="AH52" s="24" t="s">
        <v>90</v>
      </c>
      <c r="AI52" s="33">
        <v>45992</v>
      </c>
      <c r="AJ52" s="33">
        <v>46356</v>
      </c>
      <c r="AK52" s="34">
        <f t="shared" ca="1" si="8"/>
        <v>118</v>
      </c>
      <c r="AL52" s="4">
        <v>41640</v>
      </c>
      <c r="AM52" s="35">
        <v>44197</v>
      </c>
      <c r="AN52" s="24" t="s">
        <v>99</v>
      </c>
      <c r="AO52" s="24" t="s">
        <v>100</v>
      </c>
      <c r="AP52" s="24" t="s">
        <v>101</v>
      </c>
      <c r="AQ52" s="24">
        <v>30284899</v>
      </c>
      <c r="AR52" s="24">
        <v>30284899</v>
      </c>
      <c r="AS52" s="24" t="s">
        <v>102</v>
      </c>
      <c r="AT52" s="23" t="s">
        <v>795</v>
      </c>
      <c r="AU52" s="8" t="str">
        <f t="shared" si="12"/>
        <v>7201012305950001</v>
      </c>
      <c r="AV52" s="24" t="s">
        <v>104</v>
      </c>
      <c r="AW52" s="36" t="s">
        <v>165</v>
      </c>
      <c r="AX52" s="24" t="s">
        <v>106</v>
      </c>
      <c r="AY52" s="24" t="s">
        <v>107</v>
      </c>
      <c r="AZ52" s="23" t="s">
        <v>796</v>
      </c>
      <c r="BA52" s="24" t="s">
        <v>797</v>
      </c>
      <c r="BB52" s="24"/>
      <c r="BC52" s="24" t="s">
        <v>798</v>
      </c>
      <c r="BD52" s="24" t="s">
        <v>111</v>
      </c>
      <c r="BE52" s="24" t="s">
        <v>112</v>
      </c>
      <c r="BF52" s="24" t="s">
        <v>113</v>
      </c>
      <c r="BG52" s="24" t="s">
        <v>81</v>
      </c>
      <c r="BH52" s="27" t="s">
        <v>799</v>
      </c>
      <c r="BI52" s="5" t="s">
        <v>800</v>
      </c>
      <c r="BJ52" s="28" t="s">
        <v>801</v>
      </c>
      <c r="BK52" s="5" t="str">
        <f t="shared" si="11"/>
        <v>22016675294</v>
      </c>
      <c r="BL52" s="23" t="s">
        <v>802</v>
      </c>
      <c r="BM52" s="26" t="s">
        <v>803</v>
      </c>
      <c r="BN52" s="26" t="s">
        <v>119</v>
      </c>
      <c r="BO52" s="37">
        <v>46190</v>
      </c>
      <c r="BP52" s="34">
        <f t="shared" ca="1" si="10"/>
        <v>317</v>
      </c>
      <c r="BQ52" s="10" t="s">
        <v>120</v>
      </c>
      <c r="BR52" s="10" t="s">
        <v>120</v>
      </c>
      <c r="BS52" s="44"/>
      <c r="BT52" s="20" t="s">
        <v>804</v>
      </c>
    </row>
    <row r="53" spans="1:72" ht="14.25" x14ac:dyDescent="0.45">
      <c r="A53" s="26">
        <v>47</v>
      </c>
      <c r="B53" s="26" t="s">
        <v>76</v>
      </c>
      <c r="C53" s="26" t="s">
        <v>77</v>
      </c>
      <c r="D53" s="28" t="s">
        <v>805</v>
      </c>
      <c r="E53" s="28">
        <v>1141300047</v>
      </c>
      <c r="F53" s="26" t="s">
        <v>806</v>
      </c>
      <c r="G53" s="24" t="s">
        <v>807</v>
      </c>
      <c r="H53" s="24" t="s">
        <v>81</v>
      </c>
      <c r="I53" s="24" t="s">
        <v>82</v>
      </c>
      <c r="J53" s="26" t="s">
        <v>342</v>
      </c>
      <c r="K53" s="26" t="s">
        <v>84</v>
      </c>
      <c r="L53" s="19" t="s">
        <v>357</v>
      </c>
      <c r="M53" s="24" t="s">
        <v>272</v>
      </c>
      <c r="N53" s="1" t="s">
        <v>357</v>
      </c>
      <c r="O53" s="24" t="s">
        <v>87</v>
      </c>
      <c r="P53" s="26" t="s">
        <v>570</v>
      </c>
      <c r="Q53" s="29">
        <v>35424</v>
      </c>
      <c r="R53" s="30">
        <f t="shared" ca="1" si="2"/>
        <v>29</v>
      </c>
      <c r="S53" s="31" t="str">
        <f t="shared" ca="1" si="7"/>
        <v xml:space="preserve">29 Tahun 7 Bulan 11 Hari </v>
      </c>
      <c r="T53" s="32">
        <f t="shared" ca="1" si="3"/>
        <v>9639</v>
      </c>
      <c r="U53" s="30" t="str">
        <f t="shared" ca="1" si="4"/>
        <v>26-30 Tahun</v>
      </c>
      <c r="V53" s="30" t="s">
        <v>89</v>
      </c>
      <c r="W53" s="24" t="s">
        <v>90</v>
      </c>
      <c r="X53" s="26" t="s">
        <v>91</v>
      </c>
      <c r="Y53" s="24" t="s">
        <v>4</v>
      </c>
      <c r="Z53" s="24" t="s">
        <v>92</v>
      </c>
      <c r="AA53" s="24" t="s">
        <v>81</v>
      </c>
      <c r="AB53" s="24"/>
      <c r="AC53" s="26" t="s">
        <v>95</v>
      </c>
      <c r="AD53" s="51"/>
      <c r="AE53" s="24" t="s">
        <v>96</v>
      </c>
      <c r="AF53" s="24" t="str">
        <f t="shared" si="9"/>
        <v>PT Sentral Sari Jaya</v>
      </c>
      <c r="AG53" s="23" t="s">
        <v>98</v>
      </c>
      <c r="AH53" s="24" t="s">
        <v>90</v>
      </c>
      <c r="AI53" s="33">
        <v>46144</v>
      </c>
      <c r="AJ53" s="33">
        <v>46356</v>
      </c>
      <c r="AK53" s="34">
        <f t="shared" ca="1" si="8"/>
        <v>118</v>
      </c>
      <c r="AL53" s="4">
        <v>46144</v>
      </c>
      <c r="AM53" s="4">
        <v>46144</v>
      </c>
      <c r="AN53" s="24" t="s">
        <v>99</v>
      </c>
      <c r="AO53" s="24" t="s">
        <v>100</v>
      </c>
      <c r="AP53" s="24" t="s">
        <v>361</v>
      </c>
      <c r="AQ53" s="26">
        <v>30285748</v>
      </c>
      <c r="AR53" s="42" t="s">
        <v>81</v>
      </c>
      <c r="AS53" s="26" t="s">
        <v>362</v>
      </c>
      <c r="AT53" s="23" t="s">
        <v>808</v>
      </c>
      <c r="AU53" s="8" t="str">
        <f t="shared" si="12"/>
        <v>7201122512960001</v>
      </c>
      <c r="AV53" s="24" t="s">
        <v>104</v>
      </c>
      <c r="AW53" s="36" t="s">
        <v>165</v>
      </c>
      <c r="AX53" s="24" t="s">
        <v>106</v>
      </c>
      <c r="AY53" s="24" t="s">
        <v>198</v>
      </c>
      <c r="AZ53" s="23" t="s">
        <v>809</v>
      </c>
      <c r="BA53" s="52" t="s">
        <v>810</v>
      </c>
      <c r="BB53" s="24"/>
      <c r="BC53" s="24" t="s">
        <v>811</v>
      </c>
      <c r="BD53" s="24" t="s">
        <v>429</v>
      </c>
      <c r="BE53" s="24" t="s">
        <v>112</v>
      </c>
      <c r="BF53" s="24" t="s">
        <v>113</v>
      </c>
      <c r="BG53" s="24" t="s">
        <v>81</v>
      </c>
      <c r="BH53" s="27" t="s">
        <v>812</v>
      </c>
      <c r="BI53" s="5" t="s">
        <v>813</v>
      </c>
      <c r="BJ53" s="28" t="s">
        <v>814</v>
      </c>
      <c r="BK53" s="5" t="str">
        <f t="shared" si="11"/>
        <v>26058990453</v>
      </c>
      <c r="BL53" s="26" t="s">
        <v>815</v>
      </c>
      <c r="BM53" s="26" t="s">
        <v>816</v>
      </c>
      <c r="BN53" s="26" t="s">
        <v>310</v>
      </c>
      <c r="BO53" s="37">
        <v>46136</v>
      </c>
      <c r="BP53" s="34">
        <f t="shared" ca="1" si="10"/>
        <v>263</v>
      </c>
      <c r="BQ53" s="10" t="s">
        <v>120</v>
      </c>
      <c r="BR53" s="10" t="s">
        <v>120</v>
      </c>
      <c r="BS53" s="44"/>
      <c r="BT53" s="20" t="s">
        <v>817</v>
      </c>
    </row>
    <row r="54" spans="1:72" ht="14.25" x14ac:dyDescent="0.45">
      <c r="A54" s="26">
        <v>48</v>
      </c>
      <c r="B54" s="26" t="s">
        <v>76</v>
      </c>
      <c r="C54" s="26" t="s">
        <v>77</v>
      </c>
      <c r="D54" s="28" t="s">
        <v>818</v>
      </c>
      <c r="E54" s="26">
        <v>1141300043</v>
      </c>
      <c r="F54" s="26" t="s">
        <v>819</v>
      </c>
      <c r="G54" s="24" t="s">
        <v>489</v>
      </c>
      <c r="H54" s="24" t="s">
        <v>820</v>
      </c>
      <c r="I54" s="24" t="s">
        <v>468</v>
      </c>
      <c r="J54" s="26" t="s">
        <v>342</v>
      </c>
      <c r="K54" s="26" t="s">
        <v>84</v>
      </c>
      <c r="L54" s="19" t="s">
        <v>821</v>
      </c>
      <c r="M54" s="24" t="s">
        <v>272</v>
      </c>
      <c r="N54" s="1" t="s">
        <v>822</v>
      </c>
      <c r="O54" s="24" t="s">
        <v>125</v>
      </c>
      <c r="P54" s="26" t="s">
        <v>823</v>
      </c>
      <c r="Q54" s="29">
        <v>33857</v>
      </c>
      <c r="R54" s="30">
        <f t="shared" ca="1" si="2"/>
        <v>33</v>
      </c>
      <c r="S54" s="31" t="str">
        <f t="shared" ca="1" si="7"/>
        <v xml:space="preserve">33 Tahun 10 Bulan 26 Hari </v>
      </c>
      <c r="T54" s="32">
        <f t="shared" ca="1" si="3"/>
        <v>8072</v>
      </c>
      <c r="U54" s="30" t="str">
        <f t="shared" ca="1" si="4"/>
        <v>31-35 Tahun</v>
      </c>
      <c r="V54" s="30" t="s">
        <v>89</v>
      </c>
      <c r="W54" s="24" t="s">
        <v>90</v>
      </c>
      <c r="X54" s="26" t="s">
        <v>91</v>
      </c>
      <c r="Y54" s="24" t="s">
        <v>4</v>
      </c>
      <c r="Z54" s="24" t="s">
        <v>179</v>
      </c>
      <c r="AA54" s="24" t="s">
        <v>556</v>
      </c>
      <c r="AB54" s="24" t="s">
        <v>557</v>
      </c>
      <c r="AC54" s="26" t="s">
        <v>130</v>
      </c>
      <c r="AD54" s="51"/>
      <c r="AE54" s="24" t="s">
        <v>96</v>
      </c>
      <c r="AF54" s="24" t="str">
        <f t="shared" si="9"/>
        <v>PT Sentral Sari Jaya</v>
      </c>
      <c r="AG54" s="23" t="s">
        <v>98</v>
      </c>
      <c r="AH54" s="24" t="s">
        <v>90</v>
      </c>
      <c r="AI54" s="33">
        <v>45992</v>
      </c>
      <c r="AJ54" s="33">
        <v>46356</v>
      </c>
      <c r="AK54" s="34">
        <f t="shared" ca="1" si="8"/>
        <v>118</v>
      </c>
      <c r="AL54" s="4">
        <v>41640</v>
      </c>
      <c r="AM54" s="35">
        <v>44197</v>
      </c>
      <c r="AN54" s="24" t="s">
        <v>99</v>
      </c>
      <c r="AO54" s="24" t="s">
        <v>100</v>
      </c>
      <c r="AP54" s="24" t="s">
        <v>824</v>
      </c>
      <c r="AQ54" s="26">
        <v>30236196</v>
      </c>
      <c r="AR54" s="42" t="s">
        <v>81</v>
      </c>
      <c r="AS54" s="26" t="s">
        <v>496</v>
      </c>
      <c r="AT54" s="23" t="s">
        <v>825</v>
      </c>
      <c r="AU54" s="8" t="str">
        <f t="shared" si="12"/>
        <v>7201121009920002</v>
      </c>
      <c r="AV54" s="24" t="s">
        <v>104</v>
      </c>
      <c r="AW54" s="36" t="s">
        <v>165</v>
      </c>
      <c r="AX54" s="24" t="s">
        <v>106</v>
      </c>
      <c r="AY54" s="24" t="s">
        <v>198</v>
      </c>
      <c r="AZ54" s="23" t="s">
        <v>826</v>
      </c>
      <c r="BA54" s="24" t="s">
        <v>827</v>
      </c>
      <c r="BB54" s="6" t="s">
        <v>828</v>
      </c>
      <c r="BC54" s="24" t="s">
        <v>829</v>
      </c>
      <c r="BD54" s="24" t="s">
        <v>429</v>
      </c>
      <c r="BE54" s="24" t="s">
        <v>112</v>
      </c>
      <c r="BF54" s="24" t="s">
        <v>113</v>
      </c>
      <c r="BG54" s="24" t="s">
        <v>81</v>
      </c>
      <c r="BH54" s="27" t="s">
        <v>830</v>
      </c>
      <c r="BI54" s="5" t="s">
        <v>831</v>
      </c>
      <c r="BJ54" s="28" t="s">
        <v>832</v>
      </c>
      <c r="BK54" s="5" t="str">
        <f t="shared" si="11"/>
        <v>18007215207</v>
      </c>
      <c r="BL54" s="26" t="s">
        <v>833</v>
      </c>
      <c r="BM54" s="26" t="s">
        <v>834</v>
      </c>
      <c r="BN54" s="26" t="s">
        <v>119</v>
      </c>
      <c r="BO54" s="37">
        <v>46050</v>
      </c>
      <c r="BP54" s="34">
        <f t="shared" ca="1" si="10"/>
        <v>177</v>
      </c>
      <c r="BQ54" s="10" t="s">
        <v>120</v>
      </c>
      <c r="BR54" s="10" t="s">
        <v>120</v>
      </c>
      <c r="BS54" s="44"/>
      <c r="BT54" s="20" t="s">
        <v>835</v>
      </c>
    </row>
    <row r="55" spans="1:72" ht="14.25" x14ac:dyDescent="0.45">
      <c r="A55" s="26">
        <v>49</v>
      </c>
      <c r="B55" s="26" t="s">
        <v>76</v>
      </c>
      <c r="C55" s="26" t="s">
        <v>77</v>
      </c>
      <c r="D55" s="28" t="s">
        <v>836</v>
      </c>
      <c r="E55" s="28">
        <v>1141300085</v>
      </c>
      <c r="F55" s="26" t="s">
        <v>837</v>
      </c>
      <c r="G55" s="24" t="s">
        <v>838</v>
      </c>
      <c r="H55" s="24" t="s">
        <v>838</v>
      </c>
      <c r="I55" s="24" t="s">
        <v>468</v>
      </c>
      <c r="J55" s="26" t="s">
        <v>83</v>
      </c>
      <c r="K55" s="26" t="s">
        <v>84</v>
      </c>
      <c r="L55" s="19" t="s">
        <v>839</v>
      </c>
      <c r="M55" s="24" t="s">
        <v>272</v>
      </c>
      <c r="N55" s="1" t="s">
        <v>840</v>
      </c>
      <c r="O55" s="24" t="s">
        <v>125</v>
      </c>
      <c r="P55" s="26" t="s">
        <v>111</v>
      </c>
      <c r="Q55" s="29">
        <v>31909</v>
      </c>
      <c r="R55" s="30">
        <f t="shared" ca="1" si="2"/>
        <v>39</v>
      </c>
      <c r="S55" s="31" t="str">
        <f t="shared" ca="1" si="7"/>
        <v xml:space="preserve">39 Tahun 2 Bulan 24 Hari </v>
      </c>
      <c r="T55" s="32">
        <f t="shared" ca="1" si="3"/>
        <v>6124</v>
      </c>
      <c r="U55" s="30" t="str">
        <f t="shared" ca="1" si="4"/>
        <v>36-40 Tahun</v>
      </c>
      <c r="V55" s="30" t="s">
        <v>89</v>
      </c>
      <c r="W55" s="24" t="s">
        <v>90</v>
      </c>
      <c r="X55" s="26" t="s">
        <v>91</v>
      </c>
      <c r="Y55" s="24" t="s">
        <v>4</v>
      </c>
      <c r="Z55" s="24" t="s">
        <v>179</v>
      </c>
      <c r="AA55" s="24" t="s">
        <v>841</v>
      </c>
      <c r="AB55" s="24" t="s">
        <v>842</v>
      </c>
      <c r="AC55" s="26" t="s">
        <v>130</v>
      </c>
      <c r="AD55" s="51"/>
      <c r="AE55" s="24" t="s">
        <v>96</v>
      </c>
      <c r="AF55" s="24" t="str">
        <f t="shared" si="9"/>
        <v>PT Sentral Sari Jaya</v>
      </c>
      <c r="AG55" s="23" t="s">
        <v>98</v>
      </c>
      <c r="AH55" s="24" t="s">
        <v>90</v>
      </c>
      <c r="AI55" s="33">
        <v>45992</v>
      </c>
      <c r="AJ55" s="33">
        <v>46356</v>
      </c>
      <c r="AK55" s="34">
        <f t="shared" ca="1" si="8"/>
        <v>118</v>
      </c>
      <c r="AL55" s="4">
        <v>41640</v>
      </c>
      <c r="AM55" s="35">
        <v>44197</v>
      </c>
      <c r="AN55" s="24" t="s">
        <v>99</v>
      </c>
      <c r="AO55" s="24" t="s">
        <v>100</v>
      </c>
      <c r="AP55" s="24" t="s">
        <v>843</v>
      </c>
      <c r="AQ55" s="24">
        <v>30236196</v>
      </c>
      <c r="AR55" s="24">
        <v>30236196</v>
      </c>
      <c r="AS55" s="24" t="s">
        <v>496</v>
      </c>
      <c r="AT55" s="23" t="s">
        <v>844</v>
      </c>
      <c r="AU55" s="8" t="str">
        <f t="shared" si="12"/>
        <v>7201015505860003</v>
      </c>
      <c r="AV55" s="24" t="s">
        <v>104</v>
      </c>
      <c r="AW55" s="36" t="s">
        <v>165</v>
      </c>
      <c r="AX55" s="24" t="s">
        <v>475</v>
      </c>
      <c r="AY55" s="24" t="s">
        <v>107</v>
      </c>
      <c r="AZ55" s="23" t="s">
        <v>845</v>
      </c>
      <c r="BA55" s="24" t="s">
        <v>846</v>
      </c>
      <c r="BB55" s="6" t="s">
        <v>847</v>
      </c>
      <c r="BC55" s="24" t="s">
        <v>848</v>
      </c>
      <c r="BD55" s="24" t="s">
        <v>457</v>
      </c>
      <c r="BE55" s="24" t="s">
        <v>112</v>
      </c>
      <c r="BF55" s="24" t="s">
        <v>113</v>
      </c>
      <c r="BG55" s="24" t="s">
        <v>81</v>
      </c>
      <c r="BH55" s="27" t="s">
        <v>849</v>
      </c>
      <c r="BI55" s="5" t="s">
        <v>850</v>
      </c>
      <c r="BJ55" s="28" t="s">
        <v>851</v>
      </c>
      <c r="BK55" s="5" t="str">
        <f t="shared" si="11"/>
        <v>15059238319</v>
      </c>
      <c r="BL55" s="26" t="s">
        <v>852</v>
      </c>
      <c r="BM55" s="26" t="s">
        <v>853</v>
      </c>
      <c r="BN55" s="26" t="s">
        <v>485</v>
      </c>
      <c r="BO55" s="37">
        <v>46050</v>
      </c>
      <c r="BP55" s="34">
        <f t="shared" ca="1" si="10"/>
        <v>177</v>
      </c>
      <c r="BQ55" s="10" t="s">
        <v>120</v>
      </c>
      <c r="BR55" s="10" t="s">
        <v>120</v>
      </c>
      <c r="BS55" s="44"/>
      <c r="BT55" s="20" t="s">
        <v>854</v>
      </c>
    </row>
    <row r="56" spans="1:72" ht="14.25" x14ac:dyDescent="0.45">
      <c r="A56" s="26">
        <v>50</v>
      </c>
      <c r="B56" s="26" t="s">
        <v>76</v>
      </c>
      <c r="C56" s="26" t="s">
        <v>77</v>
      </c>
      <c r="D56" s="28" t="s">
        <v>855</v>
      </c>
      <c r="E56" s="28">
        <v>1141300050</v>
      </c>
      <c r="F56" s="26" t="s">
        <v>856</v>
      </c>
      <c r="G56" s="24" t="s">
        <v>489</v>
      </c>
      <c r="H56" s="24" t="s">
        <v>857</v>
      </c>
      <c r="I56" s="24" t="s">
        <v>468</v>
      </c>
      <c r="J56" s="26" t="s">
        <v>83</v>
      </c>
      <c r="K56" s="26" t="s">
        <v>84</v>
      </c>
      <c r="L56" s="19" t="s">
        <v>858</v>
      </c>
      <c r="M56" s="24" t="s">
        <v>272</v>
      </c>
      <c r="N56" s="1" t="s">
        <v>858</v>
      </c>
      <c r="O56" s="24" t="s">
        <v>125</v>
      </c>
      <c r="P56" s="26" t="s">
        <v>161</v>
      </c>
      <c r="Q56" s="29">
        <v>33989</v>
      </c>
      <c r="R56" s="30">
        <f t="shared" ca="1" si="2"/>
        <v>33</v>
      </c>
      <c r="S56" s="31" t="str">
        <f t="shared" ca="1" si="7"/>
        <v xml:space="preserve">33 Tahun 6 Bulan 16 Hari </v>
      </c>
      <c r="T56" s="32">
        <f t="shared" ca="1" si="3"/>
        <v>8204</v>
      </c>
      <c r="U56" s="30" t="str">
        <f t="shared" ca="1" si="4"/>
        <v>31-35 Tahun</v>
      </c>
      <c r="V56" s="30" t="s">
        <v>89</v>
      </c>
      <c r="W56" s="24" t="s">
        <v>90</v>
      </c>
      <c r="X56" s="26" t="s">
        <v>91</v>
      </c>
      <c r="Y56" s="24" t="s">
        <v>4</v>
      </c>
      <c r="Z56" s="24" t="s">
        <v>179</v>
      </c>
      <c r="AA56" s="24" t="s">
        <v>841</v>
      </c>
      <c r="AB56" s="24" t="s">
        <v>842</v>
      </c>
      <c r="AC56" s="26" t="s">
        <v>130</v>
      </c>
      <c r="AD56" s="51"/>
      <c r="AE56" s="24" t="s">
        <v>96</v>
      </c>
      <c r="AF56" s="24" t="str">
        <f t="shared" si="9"/>
        <v>PT Sentral Sari Jaya</v>
      </c>
      <c r="AG56" s="23" t="s">
        <v>98</v>
      </c>
      <c r="AH56" s="24" t="s">
        <v>90</v>
      </c>
      <c r="AI56" s="33">
        <v>45992</v>
      </c>
      <c r="AJ56" s="33">
        <v>46356</v>
      </c>
      <c r="AK56" s="34">
        <f t="shared" ca="1" si="8"/>
        <v>118</v>
      </c>
      <c r="AL56" s="4">
        <v>41640</v>
      </c>
      <c r="AM56" s="35">
        <v>44197</v>
      </c>
      <c r="AN56" s="24" t="s">
        <v>99</v>
      </c>
      <c r="AO56" s="24" t="s">
        <v>100</v>
      </c>
      <c r="AP56" s="24" t="s">
        <v>859</v>
      </c>
      <c r="AQ56" s="24">
        <v>30284999</v>
      </c>
      <c r="AR56" s="24">
        <v>30284999</v>
      </c>
      <c r="AS56" s="24" t="s">
        <v>860</v>
      </c>
      <c r="AT56" s="23" t="s">
        <v>861</v>
      </c>
      <c r="AU56" s="8" t="str">
        <f t="shared" si="12"/>
        <v>7201096001930001</v>
      </c>
      <c r="AV56" s="24" t="s">
        <v>288</v>
      </c>
      <c r="AW56" s="36" t="s">
        <v>289</v>
      </c>
      <c r="AX56" s="24" t="s">
        <v>475</v>
      </c>
      <c r="AY56" s="24" t="s">
        <v>107</v>
      </c>
      <c r="AZ56" s="23" t="s">
        <v>862</v>
      </c>
      <c r="BA56" s="24" t="s">
        <v>863</v>
      </c>
      <c r="BB56" s="6" t="s">
        <v>864</v>
      </c>
      <c r="BC56" s="24" t="s">
        <v>865</v>
      </c>
      <c r="BD56" s="24" t="s">
        <v>343</v>
      </c>
      <c r="BE56" s="24" t="s">
        <v>112</v>
      </c>
      <c r="BF56" s="24" t="s">
        <v>113</v>
      </c>
      <c r="BG56" s="24" t="s">
        <v>81</v>
      </c>
      <c r="BH56" s="27" t="s">
        <v>866</v>
      </c>
      <c r="BI56" s="5" t="s">
        <v>867</v>
      </c>
      <c r="BJ56" s="28" t="s">
        <v>868</v>
      </c>
      <c r="BK56" s="5" t="str">
        <f t="shared" si="11"/>
        <v>22026728299</v>
      </c>
      <c r="BL56" s="26" t="s">
        <v>869</v>
      </c>
      <c r="BM56" s="26" t="s">
        <v>870</v>
      </c>
      <c r="BN56" s="26" t="s">
        <v>338</v>
      </c>
      <c r="BO56" s="37">
        <v>46050</v>
      </c>
      <c r="BP56" s="34">
        <f t="shared" ca="1" si="10"/>
        <v>177</v>
      </c>
      <c r="BQ56" s="10" t="s">
        <v>120</v>
      </c>
      <c r="BR56" s="10" t="s">
        <v>120</v>
      </c>
      <c r="BS56" s="44"/>
      <c r="BT56" s="20" t="s">
        <v>871</v>
      </c>
    </row>
    <row r="57" spans="1:72" ht="14.25" x14ac:dyDescent="0.45">
      <c r="A57" s="26">
        <v>51</v>
      </c>
      <c r="B57" s="26" t="s">
        <v>76</v>
      </c>
      <c r="C57" s="26" t="s">
        <v>77</v>
      </c>
      <c r="D57" s="28" t="s">
        <v>872</v>
      </c>
      <c r="E57" s="28">
        <v>1141300051</v>
      </c>
      <c r="F57" s="26" t="s">
        <v>873</v>
      </c>
      <c r="G57" s="24" t="s">
        <v>874</v>
      </c>
      <c r="H57" s="24" t="s">
        <v>81</v>
      </c>
      <c r="I57" s="24" t="s">
        <v>468</v>
      </c>
      <c r="J57" s="26" t="s">
        <v>83</v>
      </c>
      <c r="K57" s="26" t="s">
        <v>84</v>
      </c>
      <c r="L57" s="19" t="s">
        <v>875</v>
      </c>
      <c r="M57" s="24" t="s">
        <v>272</v>
      </c>
      <c r="N57" s="1" t="s">
        <v>470</v>
      </c>
      <c r="O57" s="24" t="s">
        <v>125</v>
      </c>
      <c r="P57" s="26" t="s">
        <v>876</v>
      </c>
      <c r="Q57" s="29">
        <v>34076</v>
      </c>
      <c r="R57" s="30">
        <f t="shared" ca="1" si="2"/>
        <v>33</v>
      </c>
      <c r="S57" s="31" t="str">
        <f t="shared" ca="1" si="7"/>
        <v xml:space="preserve">33 Tahun 3 Bulan 19 Hari </v>
      </c>
      <c r="T57" s="32">
        <f t="shared" ca="1" si="3"/>
        <v>8291</v>
      </c>
      <c r="U57" s="30" t="str">
        <f t="shared" ca="1" si="4"/>
        <v>31-35 Tahun</v>
      </c>
      <c r="V57" s="30" t="s">
        <v>89</v>
      </c>
      <c r="W57" s="24" t="s">
        <v>90</v>
      </c>
      <c r="X57" s="26" t="s">
        <v>91</v>
      </c>
      <c r="Y57" s="24" t="s">
        <v>4</v>
      </c>
      <c r="Z57" s="24" t="s">
        <v>127</v>
      </c>
      <c r="AA57" s="24" t="s">
        <v>877</v>
      </c>
      <c r="AB57" s="24" t="s">
        <v>878</v>
      </c>
      <c r="AC57" s="26" t="s">
        <v>130</v>
      </c>
      <c r="AD57" s="51"/>
      <c r="AE57" s="24" t="s">
        <v>96</v>
      </c>
      <c r="AF57" s="24" t="str">
        <f t="shared" si="9"/>
        <v>PT Sentral Sari Jaya</v>
      </c>
      <c r="AG57" s="23" t="s">
        <v>98</v>
      </c>
      <c r="AH57" s="24" t="s">
        <v>90</v>
      </c>
      <c r="AI57" s="33">
        <v>45992</v>
      </c>
      <c r="AJ57" s="33">
        <v>46356</v>
      </c>
      <c r="AK57" s="34">
        <f t="shared" ca="1" si="8"/>
        <v>118</v>
      </c>
      <c r="AL57" s="4">
        <v>41640</v>
      </c>
      <c r="AM57" s="35">
        <v>44197</v>
      </c>
      <c r="AN57" s="24" t="s">
        <v>99</v>
      </c>
      <c r="AO57" s="24" t="s">
        <v>100</v>
      </c>
      <c r="AP57" s="24" t="s">
        <v>879</v>
      </c>
      <c r="AQ57" s="26">
        <v>30236196</v>
      </c>
      <c r="AR57" s="42" t="s">
        <v>81</v>
      </c>
      <c r="AS57" s="26" t="s">
        <v>496</v>
      </c>
      <c r="AT57" s="23" t="s">
        <v>880</v>
      </c>
      <c r="AU57" s="8" t="str">
        <f t="shared" si="12"/>
        <v>7201095704930001</v>
      </c>
      <c r="AV57" s="24" t="s">
        <v>288</v>
      </c>
      <c r="AW57" s="36" t="s">
        <v>289</v>
      </c>
      <c r="AX57" s="24" t="s">
        <v>475</v>
      </c>
      <c r="AY57" s="24" t="s">
        <v>107</v>
      </c>
      <c r="AZ57" s="23" t="s">
        <v>881</v>
      </c>
      <c r="BA57" s="24" t="s">
        <v>882</v>
      </c>
      <c r="BB57" s="6" t="s">
        <v>883</v>
      </c>
      <c r="BC57" s="24" t="s">
        <v>884</v>
      </c>
      <c r="BD57" s="24" t="s">
        <v>457</v>
      </c>
      <c r="BE57" s="24" t="s">
        <v>112</v>
      </c>
      <c r="BF57" s="24" t="s">
        <v>113</v>
      </c>
      <c r="BG57" s="24" t="s">
        <v>81</v>
      </c>
      <c r="BH57" s="27" t="s">
        <v>885</v>
      </c>
      <c r="BI57" s="5" t="s">
        <v>886</v>
      </c>
      <c r="BJ57" s="28" t="s">
        <v>887</v>
      </c>
      <c r="BK57" s="5" t="str">
        <f t="shared" si="11"/>
        <v>22026728307</v>
      </c>
      <c r="BL57" s="26" t="s">
        <v>888</v>
      </c>
      <c r="BM57" s="26" t="s">
        <v>889</v>
      </c>
      <c r="BN57" s="26" t="s">
        <v>371</v>
      </c>
      <c r="BO57" s="37">
        <v>46050</v>
      </c>
      <c r="BP57" s="34">
        <f t="shared" ca="1" si="10"/>
        <v>177</v>
      </c>
      <c r="BQ57" s="10" t="s">
        <v>120</v>
      </c>
      <c r="BR57" s="10" t="s">
        <v>120</v>
      </c>
      <c r="BS57" s="44"/>
      <c r="BT57" s="20" t="s">
        <v>890</v>
      </c>
    </row>
    <row r="58" spans="1:72" ht="14.25" x14ac:dyDescent="0.45">
      <c r="A58" s="26">
        <v>52</v>
      </c>
      <c r="B58" s="26" t="s">
        <v>76</v>
      </c>
      <c r="C58" s="26" t="s">
        <v>77</v>
      </c>
      <c r="D58" s="28" t="s">
        <v>891</v>
      </c>
      <c r="E58" s="28">
        <v>1141300052</v>
      </c>
      <c r="F58" s="26" t="s">
        <v>803</v>
      </c>
      <c r="G58" s="24" t="s">
        <v>466</v>
      </c>
      <c r="H58" s="24" t="s">
        <v>892</v>
      </c>
      <c r="I58" s="24" t="s">
        <v>468</v>
      </c>
      <c r="J58" s="26" t="s">
        <v>83</v>
      </c>
      <c r="K58" s="26" t="s">
        <v>84</v>
      </c>
      <c r="L58" s="19" t="s">
        <v>357</v>
      </c>
      <c r="M58" s="24" t="s">
        <v>272</v>
      </c>
      <c r="N58" s="1" t="s">
        <v>357</v>
      </c>
      <c r="O58" s="24" t="s">
        <v>125</v>
      </c>
      <c r="P58" s="26" t="s">
        <v>542</v>
      </c>
      <c r="Q58" s="29">
        <v>35488</v>
      </c>
      <c r="R58" s="30">
        <f ca="1">DATEDIF(Q58,TODAY(),"Y")</f>
        <v>29</v>
      </c>
      <c r="S58" s="31" t="str">
        <f t="shared" ca="1" si="7"/>
        <v xml:space="preserve">29 Tahun 5 Bulan 9 Hari </v>
      </c>
      <c r="T58" s="32">
        <f t="shared" ca="1" si="3"/>
        <v>9703</v>
      </c>
      <c r="U58" s="30" t="str">
        <f t="shared" ca="1" si="4"/>
        <v>26-30 Tahun</v>
      </c>
      <c r="V58" s="30" t="s">
        <v>89</v>
      </c>
      <c r="W58" s="24" t="s">
        <v>90</v>
      </c>
      <c r="X58" s="26" t="s">
        <v>91</v>
      </c>
      <c r="Y58" s="24" t="s">
        <v>4</v>
      </c>
      <c r="Z58" s="24" t="s">
        <v>127</v>
      </c>
      <c r="AA58" s="24" t="s">
        <v>722</v>
      </c>
      <c r="AB58" s="24" t="s">
        <v>723</v>
      </c>
      <c r="AC58" s="26" t="s">
        <v>148</v>
      </c>
      <c r="AD58" s="51"/>
      <c r="AE58" s="24" t="s">
        <v>96</v>
      </c>
      <c r="AF58" s="24" t="str">
        <f t="shared" si="9"/>
        <v>PT Sentral Sari Jaya</v>
      </c>
      <c r="AG58" s="23" t="s">
        <v>98</v>
      </c>
      <c r="AH58" s="24" t="s">
        <v>90</v>
      </c>
      <c r="AI58" s="33">
        <v>45992</v>
      </c>
      <c r="AJ58" s="33">
        <v>46356</v>
      </c>
      <c r="AK58" s="34">
        <f t="shared" ca="1" si="8"/>
        <v>118</v>
      </c>
      <c r="AL58" s="4">
        <v>41640</v>
      </c>
      <c r="AM58" s="35">
        <v>44197</v>
      </c>
      <c r="AN58" s="24" t="s">
        <v>99</v>
      </c>
      <c r="AO58" s="24" t="s">
        <v>100</v>
      </c>
      <c r="AP58" s="24" t="s">
        <v>361</v>
      </c>
      <c r="AQ58" s="26">
        <v>30236196</v>
      </c>
      <c r="AR58" s="42" t="s">
        <v>81</v>
      </c>
      <c r="AS58" s="26" t="s">
        <v>496</v>
      </c>
      <c r="AT58" s="23" t="s">
        <v>893</v>
      </c>
      <c r="AU58" s="8" t="str">
        <f t="shared" si="12"/>
        <v>7201096702970002</v>
      </c>
      <c r="AV58" s="24" t="s">
        <v>288</v>
      </c>
      <c r="AW58" s="36" t="s">
        <v>289</v>
      </c>
      <c r="AX58" s="24" t="s">
        <v>475</v>
      </c>
      <c r="AY58" s="24" t="s">
        <v>107</v>
      </c>
      <c r="AZ58" s="23" t="s">
        <v>802</v>
      </c>
      <c r="BA58" s="24" t="s">
        <v>894</v>
      </c>
      <c r="BB58" s="6" t="s">
        <v>895</v>
      </c>
      <c r="BC58" s="24" t="s">
        <v>798</v>
      </c>
      <c r="BD58" s="24" t="s">
        <v>111</v>
      </c>
      <c r="BE58" s="24" t="s">
        <v>112</v>
      </c>
      <c r="BF58" s="24" t="s">
        <v>113</v>
      </c>
      <c r="BG58" s="24" t="s">
        <v>81</v>
      </c>
      <c r="BH58" s="27" t="s">
        <v>799</v>
      </c>
      <c r="BI58" s="5" t="s">
        <v>896</v>
      </c>
      <c r="BJ58" s="28" t="s">
        <v>897</v>
      </c>
      <c r="BK58" s="5" t="str">
        <f t="shared" si="11"/>
        <v>'20039268303</v>
      </c>
      <c r="BL58" s="23" t="s">
        <v>796</v>
      </c>
      <c r="BM58" s="26" t="s">
        <v>898</v>
      </c>
      <c r="BN58" s="26" t="s">
        <v>485</v>
      </c>
      <c r="BO58" s="37">
        <v>45712</v>
      </c>
      <c r="BP58" s="50">
        <f t="shared" ca="1" si="10"/>
        <v>-161</v>
      </c>
      <c r="BQ58" s="10" t="s">
        <v>120</v>
      </c>
      <c r="BR58" s="10" t="s">
        <v>120</v>
      </c>
      <c r="BS58" s="44"/>
      <c r="BT58" s="20" t="s">
        <v>899</v>
      </c>
    </row>
    <row r="59" spans="1:72" ht="13.15" x14ac:dyDescent="0.4">
      <c r="A59" s="44"/>
      <c r="B59" s="52"/>
      <c r="C59" s="52"/>
      <c r="D59" s="44"/>
      <c r="E59" s="52"/>
      <c r="F59" s="52"/>
      <c r="G59" s="52"/>
      <c r="H59" s="52"/>
      <c r="I59" s="52"/>
      <c r="J59" s="52"/>
      <c r="K59" s="44"/>
      <c r="L59" s="52"/>
      <c r="M59" s="52"/>
      <c r="N59" s="52"/>
      <c r="O59" s="52"/>
      <c r="P59" s="44"/>
      <c r="Q59" s="52"/>
      <c r="R59" s="52"/>
      <c r="S59" s="52"/>
      <c r="T59" s="52"/>
      <c r="U59" s="52"/>
      <c r="V59" s="44"/>
      <c r="W59" s="52"/>
      <c r="X59" s="52"/>
      <c r="Y59" s="52"/>
      <c r="Z59" s="52"/>
      <c r="AA59" s="52"/>
      <c r="AB59" s="52"/>
      <c r="AC59" s="44"/>
      <c r="AD59" s="25"/>
      <c r="AE59" s="52"/>
      <c r="AF59" s="52"/>
      <c r="AG59" s="52"/>
      <c r="AH59" s="52"/>
      <c r="AI59" s="52"/>
      <c r="AJ59" s="52"/>
      <c r="AK59" s="52"/>
      <c r="AL59" s="44"/>
      <c r="AM59" s="52"/>
      <c r="AN59" s="52"/>
      <c r="AO59" s="52"/>
      <c r="AP59" s="52"/>
      <c r="AQ59" s="52"/>
      <c r="AR59" s="52"/>
      <c r="AS59" s="52"/>
      <c r="AT59" s="52"/>
      <c r="AU59" s="44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44"/>
      <c r="BJ59" s="44"/>
      <c r="BK59" s="44"/>
      <c r="BL59" s="52"/>
      <c r="BM59" s="52"/>
      <c r="BN59" s="52"/>
      <c r="BO59" s="52"/>
      <c r="BP59" s="52"/>
      <c r="BQ59" s="52"/>
      <c r="BR59" s="52"/>
      <c r="BS59" s="44"/>
      <c r="BT59" s="44"/>
    </row>
    <row r="60" spans="1:72" ht="13.15" x14ac:dyDescent="0.4">
      <c r="A60" s="44"/>
      <c r="B60" s="52"/>
      <c r="C60" s="52"/>
      <c r="D60" s="44"/>
      <c r="E60" s="9" t="s">
        <v>900</v>
      </c>
      <c r="F60" s="9">
        <f>COUNTA(F7:F58)</f>
        <v>52</v>
      </c>
      <c r="G60" s="52"/>
      <c r="H60" s="52"/>
      <c r="I60" s="52"/>
      <c r="J60" s="52"/>
      <c r="K60" s="44"/>
      <c r="L60" s="52"/>
      <c r="M60" s="52"/>
      <c r="N60" s="52"/>
      <c r="O60" s="52"/>
      <c r="P60" s="44"/>
      <c r="Q60" s="45"/>
      <c r="R60" s="52"/>
      <c r="S60" s="46"/>
      <c r="T60" s="52" t="s">
        <v>901</v>
      </c>
      <c r="U60" s="52"/>
      <c r="V60" s="44"/>
      <c r="W60" s="52"/>
      <c r="X60" s="52"/>
      <c r="Y60" s="52"/>
      <c r="Z60" s="52"/>
      <c r="AA60" s="52"/>
      <c r="AB60" s="52"/>
      <c r="AC60" s="44"/>
      <c r="AD60" s="44"/>
      <c r="AE60" s="52"/>
      <c r="AF60" s="52"/>
      <c r="AG60" s="52"/>
      <c r="AH60" s="52"/>
      <c r="AI60" s="52"/>
      <c r="AJ60" s="52"/>
      <c r="AK60" s="52"/>
      <c r="AL60" s="44"/>
      <c r="AM60" s="52"/>
      <c r="AN60" s="52"/>
      <c r="AO60" s="52"/>
      <c r="AP60" s="52"/>
      <c r="AQ60" s="52"/>
      <c r="AR60" s="52"/>
      <c r="AS60" s="52"/>
      <c r="AT60" s="52"/>
      <c r="AU60" s="44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44"/>
      <c r="BJ60" s="44"/>
      <c r="BK60" s="44"/>
      <c r="BL60" s="52"/>
      <c r="BM60" s="52"/>
      <c r="BN60" s="52"/>
      <c r="BO60" s="52"/>
      <c r="BP60" s="52"/>
      <c r="BQ60" s="52"/>
      <c r="BR60" s="52"/>
      <c r="BS60" s="44"/>
      <c r="BT60" s="44"/>
    </row>
    <row r="61" spans="1:72" x14ac:dyDescent="0.35">
      <c r="A61" s="44"/>
      <c r="B61" s="52"/>
      <c r="C61" s="52"/>
      <c r="D61" s="44"/>
      <c r="E61" s="52"/>
      <c r="F61" s="52"/>
      <c r="G61" s="52"/>
      <c r="H61" s="52"/>
      <c r="I61" s="52"/>
      <c r="J61" s="52"/>
      <c r="K61" s="44"/>
      <c r="L61" s="52"/>
      <c r="M61" s="52"/>
      <c r="N61" s="52"/>
      <c r="O61" s="52"/>
      <c r="P61" s="44"/>
      <c r="Q61" s="45"/>
      <c r="R61" s="52"/>
      <c r="S61" s="47"/>
      <c r="T61" s="52"/>
      <c r="U61" s="52"/>
      <c r="V61" s="44"/>
      <c r="W61" s="52"/>
      <c r="X61" s="52"/>
      <c r="Y61" s="52"/>
      <c r="Z61" s="52"/>
      <c r="AA61" s="52"/>
      <c r="AB61" s="52"/>
      <c r="AC61" s="44"/>
      <c r="AD61" s="44"/>
      <c r="AE61" s="52"/>
      <c r="AF61" s="52"/>
      <c r="AG61" s="52"/>
      <c r="AH61" s="52"/>
      <c r="AI61" s="52"/>
      <c r="AJ61" s="52"/>
      <c r="AK61" s="52"/>
      <c r="AL61" s="44"/>
      <c r="AM61" s="52"/>
      <c r="AN61" s="52"/>
      <c r="AO61" s="52"/>
      <c r="AP61" s="52"/>
      <c r="AQ61" s="52"/>
      <c r="AR61" s="52"/>
      <c r="AS61" s="52"/>
      <c r="AT61" s="52"/>
      <c r="AU61" s="44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44"/>
      <c r="BJ61" s="44"/>
      <c r="BK61" s="44"/>
      <c r="BL61" s="52"/>
      <c r="BM61" s="52"/>
      <c r="BN61" s="52"/>
      <c r="BO61" s="52"/>
      <c r="BP61" s="52"/>
      <c r="BQ61" s="52"/>
      <c r="BR61" s="52"/>
      <c r="BS61" s="44"/>
      <c r="BT61" s="44"/>
    </row>
  </sheetData>
  <autoFilter ref="A6:BR58" xr:uid="{B7E66EE1-D406-409B-9642-A0AE246E01CE}"/>
  <mergeCells count="1">
    <mergeCell ref="A1:BP1"/>
  </mergeCells>
  <conditionalFormatting sqref="BI18">
    <cfRule type="duplicateValues" dxfId="1" priority="1"/>
    <cfRule type="duplicateValues" dxfId="0" priority="2"/>
  </conditionalFormatting>
  <dataValidations count="2">
    <dataValidation type="list" allowBlank="1" showInputMessage="1" showErrorMessage="1" sqref="Z15 Z18" xr:uid="{365EE851-FEB5-4BC0-80B0-8555D1816CBC}">
      <formula1>"SD/Sederajat,SMP/Sederajat,SMA/Sederajat,Diploma I,Diploma II,Diploma III,Diploma IV,S1,S2,S3"</formula1>
    </dataValidation>
    <dataValidation type="list" allowBlank="1" showInputMessage="1" showErrorMessage="1" sqref="BN15 BN18" xr:uid="{E57583A5-3226-4EF5-A646-3A3E1EE6C3D4}">
      <formula1>"Anak,Orang Tua,Istri/Suami,Saudara,Rekan"</formula1>
    </dataValidation>
  </dataValidations>
  <hyperlinks>
    <hyperlink ref="BB32" r:id="rId1" xr:uid="{340625CC-00B7-4E07-AED2-701680E68108}"/>
    <hyperlink ref="BB38" r:id="rId2" xr:uid="{384BED03-08AE-4424-BAF9-6729EA1AA6E1}"/>
    <hyperlink ref="BB21" r:id="rId3" xr:uid="{E0D4DBB6-83A4-4753-8FDD-C85454D4E41B}"/>
    <hyperlink ref="BB58" r:id="rId4" xr:uid="{08FC6993-17EF-44DA-A784-8199D09EDA25}"/>
    <hyperlink ref="BB30" r:id="rId5" xr:uid="{B087A662-B969-4C8E-85B1-573565664586}"/>
    <hyperlink ref="BB28" r:id="rId6" xr:uid="{EB2E2250-47CE-4997-90A9-B3852F840736}"/>
    <hyperlink ref="BB56" r:id="rId7" xr:uid="{D8E720A8-8734-43C0-A2B9-A74F426C1C27}"/>
    <hyperlink ref="BB31" r:id="rId8" xr:uid="{56DD0974-38BC-4AAE-9C43-DCBEFE58E18C}"/>
    <hyperlink ref="BB46" r:id="rId9" xr:uid="{69A4EE8B-B9E1-41E4-93D3-F5ECAB9C2C0D}"/>
    <hyperlink ref="BB49" r:id="rId10" xr:uid="{264CA0FD-B870-43EE-9AF0-19C1FA1599E7}"/>
    <hyperlink ref="BB24" r:id="rId11" xr:uid="{A3767FBB-8BF0-49FF-B03E-E3860D85406F}"/>
    <hyperlink ref="BB16" r:id="rId12" xr:uid="{EBA9B20F-CBFB-4438-8AB5-85F86C382DC9}"/>
    <hyperlink ref="BB55" r:id="rId13" xr:uid="{6E7B8269-8768-474A-86FC-3E78A4C3429A}"/>
    <hyperlink ref="BB12" r:id="rId14" xr:uid="{13127FF3-7881-432F-9B53-EA939D940F3C}"/>
    <hyperlink ref="BB8" r:id="rId15" xr:uid="{D3CDA656-9CBD-4EEF-A1D1-BA089E487E3E}"/>
    <hyperlink ref="BB40" r:id="rId16" xr:uid="{26FE5764-4854-48F9-ADF5-698CC9301731}"/>
    <hyperlink ref="BB57" r:id="rId17" xr:uid="{832404E8-B4B0-4EC5-A30D-C5A94777B5A0}"/>
    <hyperlink ref="BB43" r:id="rId18" xr:uid="{5B03C917-DC96-45D4-A0C7-957843F9CD98}"/>
    <hyperlink ref="BB29" r:id="rId19" xr:uid="{6496D8D7-2DB6-45FE-A22B-4C750BD03E42}"/>
    <hyperlink ref="BB14" r:id="rId20" xr:uid="{158C90AD-FCEA-48C6-9879-F5FB7BA6507B}"/>
    <hyperlink ref="BB54" r:id="rId21" xr:uid="{9E4AE311-8C65-4DA1-B21E-9A9AE509D06F}"/>
    <hyperlink ref="BB23" r:id="rId22" xr:uid="{4BD440C9-3438-4B1A-856E-AFE67B93D80B}"/>
    <hyperlink ref="BB15" r:id="rId23" xr:uid="{CC344B4E-934D-4ACF-ADED-EB9F0C28763C}"/>
    <hyperlink ref="BT7" r:id="rId24" xr:uid="{7520D7A1-65FA-4F71-9C89-15FD7B3D7A2E}"/>
    <hyperlink ref="BT8" r:id="rId25" xr:uid="{AD51E207-59F3-4440-BC36-344CF966B846}"/>
    <hyperlink ref="BT9" r:id="rId26" xr:uid="{E670B28C-E867-4ABF-B77D-4651C7E194C4}"/>
    <hyperlink ref="BT10" r:id="rId27" xr:uid="{84C96875-47DC-4839-84CF-323BDE53BB5E}"/>
    <hyperlink ref="BT11" r:id="rId28" xr:uid="{AD20EF7E-4D79-4C69-9316-C4BFA4C4D184}"/>
    <hyperlink ref="BT12" r:id="rId29" xr:uid="{FBB0D3BC-4844-4318-9641-AD967733F65C}"/>
    <hyperlink ref="BT13" r:id="rId30" xr:uid="{9191067C-D6E3-4A94-9DBA-39BFEF3C948D}"/>
    <hyperlink ref="BT14" r:id="rId31" xr:uid="{16BCDEBA-EDE7-40DA-B300-85FA0964A18D}"/>
    <hyperlink ref="BT15" r:id="rId32" xr:uid="{CE8FB405-68C8-41D8-8706-5C83D731E2B9}"/>
    <hyperlink ref="BT16" r:id="rId33" xr:uid="{1E348489-7D87-43D8-81A5-5332C5E82AD6}"/>
    <hyperlink ref="BT17" r:id="rId34" xr:uid="{5497A95C-0713-4753-AB45-F3A9D4A90F8E}"/>
    <hyperlink ref="BT18" r:id="rId35" xr:uid="{191BE52E-9AC4-4725-A9C2-4C81B54762BA}"/>
    <hyperlink ref="BT19" r:id="rId36" xr:uid="{BCCE1625-D6F3-4AFD-9365-119BB58F04F8}"/>
    <hyperlink ref="BT20" r:id="rId37" xr:uid="{83C11FCE-4D01-4BF5-8489-17BBE1AD176A}"/>
    <hyperlink ref="BT21" r:id="rId38" xr:uid="{E2A2334E-3AC5-43A0-A788-4C1542E9268E}"/>
    <hyperlink ref="BT22" r:id="rId39" xr:uid="{285ABA0B-14BD-453E-872A-B8A5D4B95F63}"/>
    <hyperlink ref="BT23" r:id="rId40" xr:uid="{08D02B55-60F1-4931-A42C-3B2F45F80FA2}"/>
    <hyperlink ref="BT24" r:id="rId41" xr:uid="{0B1632D3-AA86-4C3E-95E4-16E3C286EB64}"/>
    <hyperlink ref="BT25" r:id="rId42" xr:uid="{DD89304A-DABA-48F1-9D3A-5DEADC416D73}"/>
    <hyperlink ref="BT26" r:id="rId43" xr:uid="{FAB18D7E-B6E3-4F08-BA0C-B806422129E4}"/>
    <hyperlink ref="BT27" r:id="rId44" xr:uid="{14502F27-13C7-4530-B7AB-0B0625D8FBCB}"/>
    <hyperlink ref="BT28" r:id="rId45" xr:uid="{689218FA-9D90-43FA-886D-F760B57F6B95}"/>
    <hyperlink ref="BT29" r:id="rId46" xr:uid="{EC88E26B-C4F1-4A4C-AD7C-9237BD28ECAC}"/>
    <hyperlink ref="BT30" r:id="rId47" xr:uid="{409099B7-9C2C-4022-A0BB-BA6396D52564}"/>
    <hyperlink ref="BT31" r:id="rId48" xr:uid="{36A63DA3-F872-4FA1-865C-A0B8A53AEC42}"/>
    <hyperlink ref="BT32" r:id="rId49" xr:uid="{2ED0C627-346C-41A5-92F0-BCA39CF9E7D7}"/>
    <hyperlink ref="BT33" r:id="rId50" xr:uid="{9E354521-7976-4AF7-AB30-F8EA0B395116}"/>
    <hyperlink ref="BT34" r:id="rId51" xr:uid="{8EECF1BB-C5E5-430C-9CB8-840A756348DC}"/>
    <hyperlink ref="BT35" r:id="rId52" xr:uid="{9DDA4A30-1362-4948-9695-300838C30244}"/>
    <hyperlink ref="BT36" r:id="rId53" xr:uid="{1D6A0360-82F1-436C-B7C8-5352C3715120}"/>
    <hyperlink ref="BT37" r:id="rId54" xr:uid="{707C403A-BD8B-43F2-B684-20C28110E1FF}"/>
    <hyperlink ref="BT38" r:id="rId55" xr:uid="{3A2CED96-C651-427D-AF7F-BD69079909CF}"/>
    <hyperlink ref="BT39" r:id="rId56" xr:uid="{64829E01-CE8A-4867-B2B7-988A1DF7F328}"/>
    <hyperlink ref="BT40" r:id="rId57" xr:uid="{C75E9143-9DE9-4EC1-A20F-F4D25004A0DB}"/>
    <hyperlink ref="BT41" r:id="rId58" xr:uid="{D8312FD5-EB0C-46B9-975A-1896F1955AD7}"/>
    <hyperlink ref="BT42" r:id="rId59" xr:uid="{743D76A8-CC04-4341-BDCA-68885316A88B}"/>
    <hyperlink ref="BT43" r:id="rId60" xr:uid="{E167DF9F-8DF2-496A-978B-AEF4E2A75050}"/>
    <hyperlink ref="BT44" r:id="rId61" xr:uid="{45F4B56B-F796-4111-BD10-B7869A572328}"/>
    <hyperlink ref="BT45" r:id="rId62" xr:uid="{0D8D0BC3-76A6-4338-93AA-7FBB0E952F69}"/>
    <hyperlink ref="BT46" r:id="rId63" xr:uid="{0F06A96C-2A67-48CC-95A7-A71950EEBA86}"/>
    <hyperlink ref="BT47" r:id="rId64" xr:uid="{6F6B188A-08AD-47CA-8D2F-5BC7A9594F55}"/>
    <hyperlink ref="BT48" r:id="rId65" xr:uid="{E54505D6-60E3-4FB6-B0F2-1E4244EA65D9}"/>
    <hyperlink ref="BT49" r:id="rId66" xr:uid="{1BDC900E-63B4-4294-8BC8-193A0D24D82F}"/>
    <hyperlink ref="BT50" r:id="rId67" xr:uid="{ED3407AA-E9C9-4E9A-BF20-61C2DD1C742C}"/>
    <hyperlink ref="BT51" r:id="rId68" xr:uid="{9C6B8D3A-3A17-4FC0-997E-E018ACD14C77}"/>
    <hyperlink ref="BT52" r:id="rId69" xr:uid="{DEC25B00-CD0A-4DFE-9216-6A1F6D5CDACD}"/>
    <hyperlink ref="BT53" r:id="rId70" xr:uid="{7B81ED82-0F36-4F00-B76D-2D0A6DA7D474}"/>
    <hyperlink ref="BT54" r:id="rId71" xr:uid="{2BB2DCC4-95BB-44F4-9D53-0F639F91DCAA}"/>
    <hyperlink ref="BT55" r:id="rId72" xr:uid="{A2A309F3-AF2D-4503-A52E-146530A827DA}"/>
    <hyperlink ref="BT56" r:id="rId73" xr:uid="{338A3C34-76D1-4C06-AD0B-383920138ECF}"/>
    <hyperlink ref="BT57" r:id="rId74" xr:uid="{AA274DCF-B65B-4D92-B2A5-3F8FD35213FB}"/>
    <hyperlink ref="BT58" r:id="rId75" xr:uid="{C383261D-7ACB-4B6F-9733-FE3B4CF56F03}"/>
  </hyperlinks>
  <pageMargins left="0.7" right="0.7" top="0.75" bottom="0.75" header="0.3" footer="0.3"/>
  <legacyDrawing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SSJ (4710002085) 2026.05.26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adilazwardi6</dc:creator>
  <cp:keywords/>
  <dc:description/>
  <cp:lastModifiedBy>Onesimus Suriadi</cp:lastModifiedBy>
  <cp:revision/>
  <dcterms:created xsi:type="dcterms:W3CDTF">2025-05-28T12:28:58Z</dcterms:created>
  <dcterms:modified xsi:type="dcterms:W3CDTF">2026-08-05T11:50:16Z</dcterms:modified>
  <cp:category/>
  <cp:contentStatus/>
</cp:coreProperties>
</file>